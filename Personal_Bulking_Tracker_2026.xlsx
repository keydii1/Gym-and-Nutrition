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START_HERE" sheetId="1" state="visible" r:id="rId1"/>
    <sheet xmlns:r="http://schemas.openxmlformats.org/officeDocument/2006/relationships" name="01_PROFILE_GOALS" sheetId="2" state="visible" r:id="rId2"/>
    <sheet xmlns:r="http://schemas.openxmlformats.org/officeDocument/2006/relationships" name="02_NUTRITION_SETUP" sheetId="3" state="visible" r:id="rId3"/>
    <sheet xmlns:r="http://schemas.openxmlformats.org/officeDocument/2006/relationships" name="03_FOOD_DATABASE" sheetId="4" state="visible" r:id="rId4"/>
    <sheet xmlns:r="http://schemas.openxmlformats.org/officeDocument/2006/relationships" name="04_RECIPE_DATABASE" sheetId="5" state="visible" r:id="rId5"/>
    <sheet xmlns:r="http://schemas.openxmlformats.org/officeDocument/2006/relationships" name="05_WEEKLY_MEAL_PLAN" sheetId="6" state="visible" r:id="rId6"/>
    <sheet xmlns:r="http://schemas.openxmlformats.org/officeDocument/2006/relationships" name="06_DAILY_NUTRITION_LOG" sheetId="7" state="visible" r:id="rId7"/>
    <sheet xmlns:r="http://schemas.openxmlformats.org/officeDocument/2006/relationships" name="07_WORKOUT_EXERCISE_DB" sheetId="8" state="visible" r:id="rId8"/>
    <sheet xmlns:r="http://schemas.openxmlformats.org/officeDocument/2006/relationships" name="08_WEEKLY_WORKOUT_PLAN" sheetId="9" state="visible" r:id="rId9"/>
    <sheet xmlns:r="http://schemas.openxmlformats.org/officeDocument/2006/relationships" name="09_WORKOUT_LOG" sheetId="10" state="visible" r:id="rId10"/>
    <sheet xmlns:r="http://schemas.openxmlformats.org/officeDocument/2006/relationships" name="10_BODY_WEIGHT_LOG" sheetId="11" state="visible" r:id="rId11"/>
    <sheet xmlns:r="http://schemas.openxmlformats.org/officeDocument/2006/relationships" name="11_INBODY_HISTORY" sheetId="12" state="visible" r:id="rId12"/>
    <sheet xmlns:r="http://schemas.openxmlformats.org/officeDocument/2006/relationships" name="12_WEEKLY_REVIEW" sheetId="13" state="visible" r:id="rId13"/>
    <sheet xmlns:r="http://schemas.openxmlformats.org/officeDocument/2006/relationships" name="13_DASHBOARD" sheetId="14" state="visible" r:id="rId14"/>
    <sheet xmlns:r="http://schemas.openxmlformats.org/officeDocument/2006/relationships" name="14_SETTINGS_VALIDATION" sheetId="15" state="visible" r:id="rId15"/>
  </sheets>
  <definedNames/>
  <calcPr calcId="124519" fullCalcOnLoad="1"/>
</workbook>
</file>

<file path=xl/styles.xml><?xml version="1.0" encoding="utf-8"?>
<styleSheet xmlns="http://schemas.openxmlformats.org/spreadsheetml/2006/main">
  <numFmts count="17">
    <numFmt numFmtId="164" formatCode="0.0 &quot;cm&quot;"/>
    <numFmt numFmtId="165" formatCode="0.0 &quot;kg&quot;"/>
    <numFmt numFmtId="166" formatCode="0.0"/>
    <numFmt numFmtId="167" formatCode="0.0%"/>
    <numFmt numFmtId="168" formatCode="yyyy-mm-dd"/>
    <numFmt numFmtId="169" formatCode="0.0 &quot;giờ&quot;"/>
    <numFmt numFmtId="170" formatCode="#,##0 &quot;₫&quot;"/>
    <numFmt numFmtId="171" formatCode="0.0 &quot;g&quot;"/>
    <numFmt numFmtId="172" formatCode="#,##0 &quot;ml&quot;"/>
    <numFmt numFmtId="173" formatCode="#,##0.0"/>
    <numFmt numFmtId="174" formatCode="#,##0 &quot;kg&quot;"/>
    <numFmt numFmtId="175" formatCode="0.00 &quot;kg&quot;"/>
    <numFmt numFmtId="176" formatCode="+0.00 &quot;kg&quot;;-0.00 &quot;kg&quot;;0.00 &quot;kg&quot;"/>
    <numFmt numFmtId="177" formatCode="0.0 &quot;h&quot;"/>
    <numFmt numFmtId="178" formatCode="+0.0 &quot;kg&quot;"/>
    <numFmt numFmtId="179" formatCode="yyyy-mm-dd h:mm:ss"/>
    <numFmt numFmtId="180" formatCode="+0.0"/>
  </numFmts>
  <fonts count="23">
    <font>
      <name val="Calibri"/>
      <family val="2"/>
      <color theme="1"/>
      <sz val="11"/>
      <scheme val="minor"/>
    </font>
    <font>
      <name val="Segoe UI"/>
      <b val="1"/>
      <color rgb="00FFFFFF"/>
      <sz val="13"/>
    </font>
    <font>
      <name val="Segoe UI"/>
      <i val="1"/>
      <color rgb="0064748B"/>
      <sz val="9"/>
    </font>
    <font>
      <name val="Segoe UI"/>
      <b val="1"/>
      <color rgb="00FFFFFF"/>
      <sz val="10"/>
    </font>
    <font>
      <name val="Segoe UI"/>
      <color rgb="000F172A"/>
      <sz val="10"/>
    </font>
    <font>
      <name val="Segoe UI"/>
      <b val="1"/>
      <color rgb="00FFFFFF"/>
      <sz val="16"/>
    </font>
    <font>
      <name val="Segoe UI"/>
      <i val="1"/>
      <color rgb="00E2E8F0"/>
      <sz val="10"/>
    </font>
    <font>
      <name val="Segoe UI"/>
      <b val="1"/>
      <color rgb="00991B1B"/>
      <sz val="10"/>
    </font>
    <font>
      <name val="Segoe UI"/>
      <b val="1"/>
      <color rgb="000F172A"/>
      <sz val="10"/>
    </font>
    <font>
      <name val="Segoe UI"/>
      <b val="1"/>
      <color rgb="001E3A8A"/>
      <sz val="10"/>
    </font>
    <font>
      <name val="Segoe UI"/>
      <b val="1"/>
      <color rgb="00166534"/>
      <sz val="10"/>
    </font>
    <font>
      <name val="Segoe UI"/>
      <b val="1"/>
      <color rgb="0092400E"/>
      <sz val="10"/>
    </font>
    <font>
      <name val="Segoe UI"/>
      <b val="1"/>
      <color rgb="006B21A8"/>
      <sz val="10"/>
    </font>
    <font>
      <name val="Segoe UI"/>
      <b val="1"/>
      <color rgb="001E4ED8"/>
      <sz val="10"/>
    </font>
    <font>
      <name val="Segoe UI"/>
      <b val="1"/>
      <color rgb="0092400E"/>
      <sz val="9"/>
    </font>
    <font>
      <name val="Segoe UI"/>
      <b val="1"/>
      <color rgb="006B21A8"/>
      <sz val="9"/>
    </font>
    <font>
      <name val="Segoe UI"/>
      <b val="1"/>
      <color rgb="00166534"/>
      <sz val="9"/>
    </font>
    <font>
      <name val="Segoe UI"/>
      <b val="1"/>
      <color rgb="00475569"/>
      <sz val="9"/>
    </font>
    <font>
      <name val="Segoe UI"/>
      <b val="1"/>
      <color rgb="000F172A"/>
      <sz val="18"/>
    </font>
    <font>
      <name val="Segoe UI"/>
      <i val="1"/>
      <color rgb="0064748B"/>
      <sz val="8"/>
    </font>
    <font>
      <name val="Segoe UI"/>
      <b val="1"/>
      <color rgb="00FFFFFF"/>
      <sz val="18"/>
    </font>
    <font>
      <name val="Segoe UI"/>
      <i val="1"/>
      <color rgb="00E2E8F0"/>
      <sz val="8"/>
    </font>
    <font>
      <name val="Segoe UI"/>
      <b val="1"/>
      <color rgb="00FFFFFF"/>
      <sz val="11"/>
    </font>
  </fonts>
  <fills count="15">
    <fill>
      <patternFill/>
    </fill>
    <fill>
      <patternFill patternType="gray125"/>
    </fill>
    <fill>
      <patternFill patternType="solid">
        <fgColor rgb="000F172A"/>
        <bgColor rgb="000F172A"/>
      </patternFill>
    </fill>
    <fill>
      <patternFill patternType="solid">
        <fgColor rgb="00334155"/>
        <bgColor rgb="00334155"/>
      </patternFill>
    </fill>
    <fill>
      <patternFill patternType="solid">
        <fgColor rgb="00FFFFFF"/>
        <bgColor rgb="00FFFFFF"/>
      </patternFill>
    </fill>
    <fill>
      <patternFill patternType="solid">
        <fgColor rgb="00F1F5F9"/>
        <bgColor rgb="00F1F5F9"/>
      </patternFill>
    </fill>
    <fill>
      <patternFill patternType="solid">
        <fgColor rgb="00FEE2E2"/>
        <bgColor rgb="00FEE2E2"/>
      </patternFill>
    </fill>
    <fill>
      <patternFill patternType="solid">
        <fgColor rgb="001E293B"/>
        <bgColor rgb="001E293B"/>
      </patternFill>
    </fill>
    <fill>
      <patternFill patternType="solid">
        <fgColor rgb="00EFF6FF"/>
        <bgColor rgb="00EFF6FF"/>
      </patternFill>
    </fill>
    <fill>
      <patternFill patternType="solid">
        <fgColor rgb="00F8FAFC"/>
        <bgColor rgb="00F8FAFC"/>
      </patternFill>
    </fill>
    <fill>
      <patternFill patternType="solid">
        <fgColor rgb="00DCFCE7"/>
        <bgColor rgb="00DCFCE7"/>
      </patternFill>
    </fill>
    <fill>
      <patternFill patternType="solid">
        <fgColor rgb="00FEF3C7"/>
        <bgColor rgb="00FEF3C7"/>
      </patternFill>
    </fill>
    <fill>
      <patternFill patternType="solid">
        <fgColor rgb="00F3E8FF"/>
        <bgColor rgb="00F3E8FF"/>
      </patternFill>
    </fill>
    <fill>
      <patternFill patternType="solid">
        <fgColor rgb="00E2E8F0"/>
        <bgColor rgb="00E2E8F0"/>
      </patternFill>
    </fill>
    <fill>
      <patternFill patternType="solid">
        <fgColor rgb="001D4ED8"/>
        <bgColor rgb="001D4ED8"/>
      </patternFill>
    </fill>
  </fills>
  <borders count="15">
    <border>
      <left/>
      <right/>
      <top/>
      <bottom/>
      <diagonal/>
    </border>
    <border>
      <left style="thin">
        <color rgb="00CBD5E1"/>
      </left>
      <right style="thin">
        <color rgb="00CBD5E1"/>
      </right>
      <top style="medium">
        <color rgb="001E293B"/>
      </top>
      <bottom style="medium">
        <color rgb="001E293B"/>
      </bottom>
    </border>
    <border>
      <left style="thin">
        <color rgb="00CBD5E1"/>
      </left>
      <right style="thin">
        <color rgb="00CBD5E1"/>
      </right>
      <top style="thin">
        <color rgb="00CBD5E1"/>
      </top>
      <bottom style="thin">
        <color rgb="00CBD5E1"/>
      </bottom>
    </border>
    <border>
      <left style="medium">
        <color rgb="00DC2626"/>
      </left>
      <right style="thin">
        <color rgb="00CBD5E1"/>
      </right>
      <top style="thin">
        <color rgb="00CBD5E1"/>
      </top>
      <bottom style="thin">
        <color rgb="00CBD5E1"/>
      </bottom>
    </border>
    <border>
      <left style="thin">
        <color rgb="0093C5FD"/>
      </left>
      <right style="thin">
        <color rgb="0093C5FD"/>
      </right>
      <top style="thin">
        <color rgb="0093C5FD"/>
      </top>
      <bottom style="thin">
        <color rgb="0093C5FD"/>
      </bottom>
    </border>
    <border>
      <top style="thin">
        <color rgb="00CBD5E1"/>
      </top>
      <bottom style="double">
        <color rgb="001E293B"/>
      </bottom>
    </border>
    <border>
      <left/>
      <right/>
      <top style="thin">
        <color rgb="00CBD5E1"/>
      </top>
      <bottom/>
      <diagonal/>
    </border>
    <border>
      <left style="medium">
        <color rgb="00DC2626"/>
      </left>
      <right/>
      <top/>
      <bottom/>
      <diagonal/>
    </border>
    <border>
      <left/>
      <right style="thin">
        <color rgb="00CBD5E1"/>
      </right>
      <top style="thin">
        <color rgb="00CBD5E1"/>
      </top>
      <bottom/>
      <diagonal/>
    </border>
    <border>
      <left/>
      <right style="thin">
        <color rgb="00CBD5E1"/>
      </right>
      <top/>
      <bottom/>
      <diagonal/>
    </border>
    <border>
      <left style="medium">
        <color rgb="00DC2626"/>
      </left>
      <right/>
      <top/>
      <bottom style="thin">
        <color rgb="00CBD5E1"/>
      </bottom>
      <diagonal/>
    </border>
    <border>
      <left/>
      <right/>
      <top/>
      <bottom style="thin">
        <color rgb="00CBD5E1"/>
      </bottom>
      <diagonal/>
    </border>
    <border>
      <left/>
      <right style="thin">
        <color rgb="00CBD5E1"/>
      </right>
      <top/>
      <bottom style="thin">
        <color rgb="00CBD5E1"/>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1">
    <xf numFmtId="0" fontId="0" fillId="0" borderId="0"/>
  </cellStyleXfs>
  <cellXfs count="125">
    <xf numFmtId="0" fontId="0" fillId="0" borderId="0" pivotButton="0" quotePrefix="0" xfId="0"/>
    <xf numFmtId="0" fontId="5" fillId="2" borderId="0" applyAlignment="1" pivotButton="0" quotePrefix="0" xfId="0">
      <alignment horizontal="center" vertical="center" wrapText="1"/>
    </xf>
    <xf numFmtId="0" fontId="6" fillId="3" borderId="0" applyAlignment="1" pivotButton="0" quotePrefix="0" xfId="0">
      <alignment horizontal="center" vertical="center" wrapText="1"/>
    </xf>
    <xf numFmtId="0" fontId="7" fillId="6" borderId="3" applyAlignment="1" pivotButton="0" quotePrefix="0" xfId="0">
      <alignment horizontal="left" vertical="center" wrapText="1"/>
    </xf>
    <xf numFmtId="0" fontId="1" fillId="7" borderId="0" applyAlignment="1" pivotButton="0" quotePrefix="0" xfId="0">
      <alignment horizontal="left" vertical="center" wrapText="1"/>
    </xf>
    <xf numFmtId="0" fontId="3" fillId="3" borderId="1" applyAlignment="1" pivotButton="0" quotePrefix="0" xfId="0">
      <alignment horizontal="center" vertical="center" wrapText="1"/>
    </xf>
    <xf numFmtId="0" fontId="8" fillId="4" borderId="2" pivotButton="0" quotePrefix="0" xfId="0"/>
    <xf numFmtId="0" fontId="9" fillId="8" borderId="2" applyAlignment="1" pivotButton="0" quotePrefix="0" xfId="0">
      <alignment horizontal="center" vertical="center" wrapText="1"/>
    </xf>
    <xf numFmtId="0" fontId="4" fillId="4" borderId="2" pivotButton="0" quotePrefix="0" xfId="0"/>
    <xf numFmtId="0" fontId="8" fillId="9" borderId="2" applyAlignment="1" pivotButton="0" quotePrefix="0" xfId="0">
      <alignment horizontal="center" vertical="center" wrapText="1"/>
    </xf>
    <xf numFmtId="0" fontId="10" fillId="10" borderId="2" applyAlignment="1" pivotButton="0" quotePrefix="0" xfId="0">
      <alignment horizontal="center" vertical="center" wrapText="1"/>
    </xf>
    <xf numFmtId="0" fontId="11" fillId="11" borderId="2" applyAlignment="1" pivotButton="0" quotePrefix="0" xfId="0">
      <alignment horizontal="center" vertical="center" wrapText="1"/>
    </xf>
    <xf numFmtId="0" fontId="12" fillId="12" borderId="2" applyAlignment="1" pivotButton="0" quotePrefix="0" xfId="0">
      <alignment horizontal="center" vertical="center" wrapText="1"/>
    </xf>
    <xf numFmtId="0" fontId="9" fillId="8" borderId="2" pivotButton="0" quotePrefix="0" xfId="0"/>
    <xf numFmtId="0" fontId="8" fillId="4" borderId="2" applyAlignment="1" pivotButton="0" quotePrefix="0" xfId="0">
      <alignment horizontal="center" vertical="center" wrapText="1"/>
    </xf>
    <xf numFmtId="164" fontId="8" fillId="4" borderId="2" applyAlignment="1" pivotButton="0" quotePrefix="0" xfId="0">
      <alignment horizontal="center" vertical="center" wrapText="1"/>
    </xf>
    <xf numFmtId="165" fontId="8" fillId="4" borderId="2" applyAlignment="1" pivotButton="0" quotePrefix="0" xfId="0">
      <alignment horizontal="center" vertical="center" wrapText="1"/>
    </xf>
    <xf numFmtId="166" fontId="8" fillId="9" borderId="2" applyAlignment="1" pivotButton="0" quotePrefix="0" xfId="0">
      <alignment horizontal="center" vertical="center" wrapText="1"/>
    </xf>
    <xf numFmtId="167" fontId="8" fillId="4" borderId="2" applyAlignment="1" pivotButton="0" quotePrefix="0" xfId="0">
      <alignment horizontal="center" vertical="center" wrapText="1"/>
    </xf>
    <xf numFmtId="3" fontId="8" fillId="4" borderId="2" applyAlignment="1" pivotButton="0" quotePrefix="0" xfId="0">
      <alignment horizontal="center" vertical="center" wrapText="1"/>
    </xf>
    <xf numFmtId="168" fontId="8" fillId="4" borderId="2" applyAlignment="1" pivotButton="0" quotePrefix="0" xfId="0">
      <alignment horizontal="center" vertical="center" wrapText="1"/>
    </xf>
    <xf numFmtId="0" fontId="9" fillId="8" borderId="4" applyAlignment="1" pivotButton="0" quotePrefix="0" xfId="0">
      <alignment horizontal="center" vertical="center" wrapText="1"/>
    </xf>
    <xf numFmtId="169" fontId="9" fillId="8" borderId="4" applyAlignment="1" pivotButton="0" quotePrefix="0" xfId="0">
      <alignment horizontal="center" vertical="center" wrapText="1"/>
    </xf>
    <xf numFmtId="170" fontId="9" fillId="8" borderId="4" applyAlignment="1" pivotButton="0" quotePrefix="0" xfId="0">
      <alignment horizontal="center" vertical="center" wrapText="1"/>
    </xf>
    <xf numFmtId="0" fontId="4" fillId="4" borderId="2" applyAlignment="1" pivotButton="0" quotePrefix="0" xfId="0">
      <alignment horizontal="center" vertical="center" wrapText="1"/>
    </xf>
    <xf numFmtId="0" fontId="13" fillId="13" borderId="2" pivotButton="0" quotePrefix="0" xfId="0"/>
    <xf numFmtId="0" fontId="8" fillId="13" borderId="2" applyAlignment="1" pivotButton="0" quotePrefix="0" xfId="0">
      <alignment horizontal="center" vertical="center" wrapText="1"/>
    </xf>
    <xf numFmtId="0" fontId="4" fillId="13" borderId="2" applyAlignment="1" pivotButton="0" quotePrefix="0" xfId="0">
      <alignment horizontal="center" vertical="center" wrapText="1"/>
    </xf>
    <xf numFmtId="0" fontId="4" fillId="13" borderId="2" pivotButton="0" quotePrefix="0" xfId="0"/>
    <xf numFmtId="165" fontId="8" fillId="9" borderId="2" applyAlignment="1" pivotButton="0" quotePrefix="0" xfId="0">
      <alignment horizontal="center" vertical="center" wrapText="1"/>
    </xf>
    <xf numFmtId="167" fontId="8" fillId="9" borderId="2" applyAlignment="1" pivotButton="0" quotePrefix="0" xfId="0">
      <alignment horizontal="center" vertical="center" wrapText="1"/>
    </xf>
    <xf numFmtId="3" fontId="8" fillId="9" borderId="2" applyAlignment="1" pivotButton="0" quotePrefix="0" xfId="0">
      <alignment horizontal="center" vertical="center" wrapText="1"/>
    </xf>
    <xf numFmtId="3" fontId="9" fillId="8" borderId="4" applyAlignment="1" pivotButton="0" quotePrefix="0" xfId="0">
      <alignment horizontal="center" vertical="center" wrapText="1"/>
    </xf>
    <xf numFmtId="171" fontId="9" fillId="8" borderId="4" applyAlignment="1" pivotButton="0" quotePrefix="0" xfId="0">
      <alignment horizontal="center" vertical="center" wrapText="1"/>
    </xf>
    <xf numFmtId="172" fontId="9" fillId="8" borderId="4" applyAlignment="1" pivotButton="0" quotePrefix="0" xfId="0">
      <alignment horizontal="center" vertical="center" wrapText="1"/>
    </xf>
    <xf numFmtId="0" fontId="14" fillId="11" borderId="0" applyAlignment="1" pivotButton="0" quotePrefix="0" xfId="0">
      <alignment horizontal="left" vertical="center" wrapText="1"/>
    </xf>
    <xf numFmtId="0" fontId="3" fillId="7" borderId="1" applyAlignment="1" pivotButton="0" quotePrefix="0" xfId="0">
      <alignment horizontal="center" vertical="center" wrapText="1"/>
    </xf>
    <xf numFmtId="0" fontId="8" fillId="4" borderId="2" applyAlignment="1" pivotButton="0" quotePrefix="0" xfId="0">
      <alignment horizontal="left" vertical="center" wrapText="1"/>
    </xf>
    <xf numFmtId="0" fontId="4" fillId="4" borderId="2" applyAlignment="1" pivotButton="0" quotePrefix="0" xfId="0">
      <alignment horizontal="left" vertical="center" wrapText="1"/>
    </xf>
    <xf numFmtId="173" fontId="4" fillId="4" borderId="2" applyAlignment="1" pivotButton="0" quotePrefix="0" xfId="0">
      <alignment horizontal="right" vertical="center"/>
    </xf>
    <xf numFmtId="170" fontId="4" fillId="4" borderId="2" applyAlignment="1" pivotButton="0" quotePrefix="0" xfId="0">
      <alignment horizontal="right" vertical="center"/>
    </xf>
    <xf numFmtId="0" fontId="4" fillId="5" borderId="2" applyAlignment="1" pivotButton="0" quotePrefix="0" xfId="0">
      <alignment horizontal="center" vertical="center" wrapText="1"/>
    </xf>
    <xf numFmtId="0" fontId="8" fillId="5" borderId="2" applyAlignment="1" pivotButton="0" quotePrefix="0" xfId="0">
      <alignment horizontal="left" vertical="center" wrapText="1"/>
    </xf>
    <xf numFmtId="0" fontId="4" fillId="5" borderId="2" applyAlignment="1" pivotButton="0" quotePrefix="0" xfId="0">
      <alignment horizontal="left" vertical="center" wrapText="1"/>
    </xf>
    <xf numFmtId="173" fontId="4" fillId="5" borderId="2" applyAlignment="1" pivotButton="0" quotePrefix="0" xfId="0">
      <alignment horizontal="right" vertical="center"/>
    </xf>
    <xf numFmtId="170" fontId="4" fillId="5" borderId="2" applyAlignment="1" pivotButton="0" quotePrefix="0" xfId="0">
      <alignment horizontal="right" vertical="center"/>
    </xf>
    <xf numFmtId="0" fontId="15" fillId="12" borderId="0" applyAlignment="1" pivotButton="0" quotePrefix="0" xfId="0">
      <alignment horizontal="left" vertical="center" wrapText="1"/>
    </xf>
    <xf numFmtId="173" fontId="8" fillId="4" borderId="2" applyAlignment="1" pivotButton="0" quotePrefix="0" xfId="0">
      <alignment horizontal="right" vertical="center"/>
    </xf>
    <xf numFmtId="173" fontId="8" fillId="5" borderId="2" applyAlignment="1" pivotButton="0" quotePrefix="0" xfId="0">
      <alignment horizontal="right" vertical="center"/>
    </xf>
    <xf numFmtId="0" fontId="8" fillId="13" borderId="0" applyAlignment="1" pivotButton="0" quotePrefix="0" xfId="0">
      <alignment horizontal="right" vertical="center"/>
    </xf>
    <xf numFmtId="173" fontId="8" fillId="13" borderId="5" applyAlignment="1" pivotButton="0" quotePrefix="0" xfId="0">
      <alignment horizontal="right" vertical="center"/>
    </xf>
    <xf numFmtId="170" fontId="8" fillId="13" borderId="5" applyAlignment="1" pivotButton="0" quotePrefix="0" xfId="0">
      <alignment horizontal="right" vertical="center"/>
    </xf>
    <xf numFmtId="0" fontId="10" fillId="10" borderId="5" applyAlignment="1" pivotButton="0" quotePrefix="0" xfId="0">
      <alignment horizontal="center" vertical="center" wrapText="1"/>
    </xf>
    <xf numFmtId="0" fontId="4" fillId="13" borderId="5" pivotButton="0" quotePrefix="0" xfId="0"/>
    <xf numFmtId="0" fontId="5" fillId="7" borderId="0" applyAlignment="1" pivotButton="0" quotePrefix="0" xfId="0">
      <alignment horizontal="center" vertical="center" wrapText="1"/>
    </xf>
    <xf numFmtId="0" fontId="2" fillId="0" borderId="0" pivotButton="0" quotePrefix="0" xfId="0"/>
    <xf numFmtId="0" fontId="14" fillId="0" borderId="0" pivotButton="0" quotePrefix="0" xfId="0"/>
    <xf numFmtId="168" fontId="9" fillId="8" borderId="2" applyAlignment="1" pivotButton="0" quotePrefix="0" xfId="0">
      <alignment horizontal="center" vertical="center" wrapText="1"/>
    </xf>
    <xf numFmtId="0" fontId="9" fillId="8" borderId="2" applyAlignment="1" pivotButton="0" quotePrefix="0" xfId="0">
      <alignment horizontal="left" vertical="center" wrapText="1"/>
    </xf>
    <xf numFmtId="173" fontId="8" fillId="9" borderId="2" applyAlignment="1" pivotButton="0" quotePrefix="0" xfId="0">
      <alignment horizontal="right" vertical="center"/>
    </xf>
    <xf numFmtId="170" fontId="8" fillId="9" borderId="2" applyAlignment="1" pivotButton="0" quotePrefix="0" xfId="0">
      <alignment horizontal="right" vertical="center"/>
    </xf>
    <xf numFmtId="168" fontId="8" fillId="9" borderId="2" applyAlignment="1" pivotButton="0" quotePrefix="0" xfId="0">
      <alignment horizontal="center" vertical="center" wrapText="1"/>
    </xf>
    <xf numFmtId="3" fontId="8" fillId="9" borderId="2" applyAlignment="1" pivotButton="0" quotePrefix="0" xfId="0">
      <alignment horizontal="right" vertical="center"/>
    </xf>
    <xf numFmtId="167" fontId="8" fillId="9" borderId="2" applyAlignment="1" pivotButton="0" quotePrefix="0" xfId="0">
      <alignment horizontal="right" vertical="center"/>
    </xf>
    <xf numFmtId="0" fontId="16" fillId="10" borderId="0" applyAlignment="1" pivotButton="0" quotePrefix="0" xfId="0">
      <alignment horizontal="left" vertical="center" wrapText="1"/>
    </xf>
    <xf numFmtId="165" fontId="9" fillId="8" borderId="2" applyAlignment="1" pivotButton="0" quotePrefix="0" xfId="0">
      <alignment horizontal="right" vertical="center"/>
    </xf>
    <xf numFmtId="174" fontId="8" fillId="9" borderId="2" applyAlignment="1" pivotButton="0" quotePrefix="0" xfId="0">
      <alignment horizontal="right" vertical="center"/>
    </xf>
    <xf numFmtId="164" fontId="9" fillId="8" borderId="2" applyAlignment="1" pivotButton="0" quotePrefix="0" xfId="0">
      <alignment horizontal="right" vertical="center"/>
    </xf>
    <xf numFmtId="175" fontId="8" fillId="9" borderId="2" applyAlignment="1" pivotButton="0" quotePrefix="0" xfId="0">
      <alignment horizontal="right" vertical="center"/>
    </xf>
    <xf numFmtId="176" fontId="8" fillId="9" borderId="2" applyAlignment="1" pivotButton="0" quotePrefix="0" xfId="0">
      <alignment horizontal="right" vertical="center"/>
    </xf>
    <xf numFmtId="165" fontId="8" fillId="9" borderId="2" applyAlignment="1" pivotButton="0" quotePrefix="0" xfId="0">
      <alignment horizontal="right" vertical="center"/>
    </xf>
    <xf numFmtId="168" fontId="4" fillId="4" borderId="2" applyAlignment="1" pivotButton="0" quotePrefix="0" xfId="0">
      <alignment horizontal="center" vertical="center" wrapText="1"/>
    </xf>
    <xf numFmtId="167" fontId="8" fillId="4" borderId="2" applyAlignment="1" pivotButton="0" quotePrefix="0" xfId="0">
      <alignment horizontal="right" vertical="center"/>
    </xf>
    <xf numFmtId="3" fontId="4" fillId="4" borderId="2" applyAlignment="1" pivotButton="0" quotePrefix="0" xfId="0">
      <alignment horizontal="right" vertical="center"/>
    </xf>
    <xf numFmtId="173" fontId="9" fillId="8" borderId="2" applyAlignment="1" pivotButton="0" quotePrefix="0" xfId="0">
      <alignment horizontal="right" vertical="center"/>
    </xf>
    <xf numFmtId="167" fontId="9" fillId="8" borderId="2" applyAlignment="1" pivotButton="0" quotePrefix="0" xfId="0">
      <alignment horizontal="right" vertical="center"/>
    </xf>
    <xf numFmtId="3" fontId="9" fillId="8" borderId="2" applyAlignment="1" pivotButton="0" quotePrefix="0" xfId="0">
      <alignment horizontal="right" vertical="center"/>
    </xf>
    <xf numFmtId="177" fontId="8" fillId="9" borderId="2" applyAlignment="1" pivotButton="0" quotePrefix="0" xfId="0">
      <alignment horizontal="center" vertical="center" wrapText="1"/>
    </xf>
    <xf numFmtId="0" fontId="14" fillId="11" borderId="0" applyAlignment="1" pivotButton="0" quotePrefix="0" xfId="0">
      <alignment horizontal="center" vertical="center" wrapText="1"/>
    </xf>
    <xf numFmtId="0" fontId="17" fillId="13" borderId="2" applyAlignment="1" pivotButton="0" quotePrefix="0" xfId="0">
      <alignment horizontal="center" vertical="center" wrapText="1"/>
    </xf>
    <xf numFmtId="165" fontId="18" fillId="4" borderId="2" applyAlignment="1" pivotButton="0" quotePrefix="0" xfId="0">
      <alignment horizontal="center" vertical="center" wrapText="1"/>
    </xf>
    <xf numFmtId="178" fontId="18" fillId="10" borderId="2" applyAlignment="1" pivotButton="0" quotePrefix="0" xfId="0">
      <alignment horizontal="center" vertical="center" wrapText="1"/>
    </xf>
    <xf numFmtId="167" fontId="20" fillId="14" borderId="2" applyAlignment="1" pivotButton="0" quotePrefix="0" xfId="0">
      <alignment horizontal="center" vertical="center" wrapText="1"/>
    </xf>
    <xf numFmtId="0" fontId="19" fillId="4" borderId="2" applyAlignment="1" pivotButton="0" quotePrefix="0" xfId="0">
      <alignment horizontal="center" vertical="center" wrapText="1"/>
    </xf>
    <xf numFmtId="0" fontId="19" fillId="10" borderId="2" applyAlignment="1" pivotButton="0" quotePrefix="0" xfId="0">
      <alignment horizontal="center" vertical="center" wrapText="1"/>
    </xf>
    <xf numFmtId="0" fontId="21" fillId="14" borderId="2" applyAlignment="1" pivotButton="0" quotePrefix="0" xfId="0">
      <alignment horizontal="center" vertical="center" wrapText="1"/>
    </xf>
    <xf numFmtId="3" fontId="18" fillId="4" borderId="2" applyAlignment="1" pivotButton="0" quotePrefix="0" xfId="0">
      <alignment horizontal="center" vertical="center" wrapText="1"/>
    </xf>
    <xf numFmtId="171" fontId="18" fillId="4" borderId="2" applyAlignment="1" pivotButton="0" quotePrefix="0" xfId="0">
      <alignment horizontal="center" vertical="center" wrapText="1"/>
    </xf>
    <xf numFmtId="167" fontId="18" fillId="4" borderId="2" applyAlignment="1" pivotButton="0" quotePrefix="0" xfId="0">
      <alignment horizontal="center" vertical="center" wrapText="1"/>
    </xf>
    <xf numFmtId="177" fontId="18" fillId="4" borderId="2" applyAlignment="1" pivotButton="0" quotePrefix="0" xfId="0">
      <alignment horizontal="center" vertical="center" wrapText="1"/>
    </xf>
    <xf numFmtId="0" fontId="8" fillId="13" borderId="0" pivotButton="0" quotePrefix="0" xfId="0"/>
    <xf numFmtId="0" fontId="4" fillId="0" borderId="0" pivotButton="0" quotePrefix="0" xfId="0"/>
    <xf numFmtId="165" fontId="8" fillId="0" borderId="0" pivotButton="0" quotePrefix="0" xfId="0"/>
    <xf numFmtId="0" fontId="1" fillId="2" borderId="0" applyAlignment="1" pivotButton="0" quotePrefix="0" xfId="0">
      <alignment horizontal="center" vertical="center" wrapText="1"/>
    </xf>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168" fontId="8" fillId="9" borderId="2" applyAlignment="1" pivotButton="0" quotePrefix="0" xfId="0">
      <alignment horizontal="center"/>
    </xf>
    <xf numFmtId="0" fontId="8" fillId="9" borderId="2" applyAlignment="1" pivotButton="0" quotePrefix="0" xfId="0">
      <alignment horizontal="center"/>
    </xf>
    <xf numFmtId="3" fontId="8" fillId="5" borderId="2" applyAlignment="1" pivotButton="0" quotePrefix="0" xfId="0">
      <alignment horizontal="right"/>
    </xf>
    <xf numFmtId="166" fontId="8" fillId="5" borderId="2" applyAlignment="1" pivotButton="0" quotePrefix="0" xfId="0">
      <alignment horizontal="right"/>
    </xf>
    <xf numFmtId="1" fontId="8" fillId="5" borderId="2" applyAlignment="1" pivotButton="0" quotePrefix="0" xfId="0">
      <alignment horizontal="center"/>
    </xf>
    <xf numFmtId="0" fontId="8" fillId="5" borderId="2" applyAlignment="1" pivotButton="0" quotePrefix="0" xfId="0">
      <alignment horizontal="center"/>
    </xf>
    <xf numFmtId="167" fontId="8" fillId="5" borderId="2" applyAlignment="1" pivotButton="0" quotePrefix="0" xfId="0">
      <alignment horizontal="right"/>
    </xf>
    <xf numFmtId="3" fontId="8" fillId="5" borderId="2" applyAlignment="1" pivotButton="0" quotePrefix="0" xfId="0">
      <alignment horizontal="right" vertical="center"/>
    </xf>
    <xf numFmtId="166" fontId="8" fillId="5" borderId="2" applyAlignment="1" pivotButton="0" quotePrefix="0" xfId="0">
      <alignment horizontal="right" vertical="center"/>
    </xf>
    <xf numFmtId="168" fontId="0" fillId="0" borderId="2" applyAlignment="1" pivotButton="0" quotePrefix="0" xfId="0">
      <alignment horizontal="center"/>
    </xf>
    <xf numFmtId="0" fontId="0" fillId="0" borderId="2" applyAlignment="1" pivotButton="0" quotePrefix="0" xfId="0">
      <alignment horizontal="center"/>
    </xf>
    <xf numFmtId="3" fontId="0" fillId="5" borderId="2" applyAlignment="1" pivotButton="0" quotePrefix="0" xfId="0">
      <alignment horizontal="right"/>
    </xf>
    <xf numFmtId="166" fontId="0" fillId="5" borderId="2" applyAlignment="1" pivotButton="0" quotePrefix="0" xfId="0">
      <alignment horizontal="right"/>
    </xf>
    <xf numFmtId="1" fontId="0" fillId="5" borderId="2" applyAlignment="1" pivotButton="0" quotePrefix="0" xfId="0">
      <alignment horizontal="center"/>
    </xf>
    <xf numFmtId="0" fontId="0" fillId="5" borderId="2" applyAlignment="1" pivotButton="0" quotePrefix="0" xfId="0">
      <alignment horizontal="center"/>
    </xf>
    <xf numFmtId="167" fontId="0" fillId="5" borderId="2" applyAlignment="1" pivotButton="0" quotePrefix="0" xfId="0">
      <alignment horizontal="right"/>
    </xf>
    <xf numFmtId="0" fontId="0" fillId="0" borderId="2" pivotButton="0" quotePrefix="0" xfId="0"/>
    <xf numFmtId="3" fontId="0" fillId="5" borderId="2" pivotButton="0" quotePrefix="0" xfId="0"/>
    <xf numFmtId="166" fontId="0" fillId="5" borderId="2" pivotButton="0" quotePrefix="0" xfId="0"/>
    <xf numFmtId="0" fontId="22" fillId="7" borderId="2" applyAlignment="1" pivotButton="0" quotePrefix="0" xfId="0">
      <alignment horizontal="center" vertical="center"/>
    </xf>
    <xf numFmtId="166" fontId="8" fillId="9" borderId="2" applyAlignment="1" pivotButton="0" quotePrefix="0" xfId="0">
      <alignment horizontal="right" vertical="center"/>
    </xf>
    <xf numFmtId="1" fontId="8" fillId="9" borderId="2" applyAlignment="1" pivotButton="0" quotePrefix="0" xfId="0">
      <alignment horizontal="center" vertical="center" wrapText="1"/>
    </xf>
    <xf numFmtId="0" fontId="0" fillId="0" borderId="13" pivotButton="0" quotePrefix="0" xfId="0"/>
    <xf numFmtId="0" fontId="0" fillId="0" borderId="14" pivotButton="0" quotePrefix="0" xfId="0"/>
    <xf numFmtId="166" fontId="18" fillId="4" borderId="2" applyAlignment="1" pivotButton="0" quotePrefix="0" xfId="0">
      <alignment horizontal="center" vertical="center" wrapText="1"/>
    </xf>
    <xf numFmtId="180" fontId="18" fillId="10"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Diễn Biến Cân Nặng, Cơ Bắp (SMM) &amp; Mỡ (Fat Mass)</a:t>
            </a:r>
          </a:p>
        </rich>
      </tx>
    </title>
    <plotArea>
      <barChart>
        <barDir val="col"/>
        <grouping val="clustered"/>
        <ser>
          <idx val="0"/>
          <order val="0"/>
          <tx>
            <strRef>
              <f>'11_INBODY_HISTORY'!C3</f>
            </strRef>
          </tx>
          <spPr>
            <a:ln xmlns:a="http://schemas.openxmlformats.org/drawingml/2006/main">
              <a:prstDash val="solid"/>
            </a:ln>
          </spPr>
          <cat>
            <numRef>
              <f>'11_INBODY_HISTORY'!$A$4</f>
            </numRef>
          </cat>
          <val>
            <numRef>
              <f>'11_INBODY_HISTORY'!$C$4</f>
            </numRef>
          </val>
        </ser>
        <ser>
          <idx val="1"/>
          <order val="1"/>
          <tx>
            <strRef>
              <f>'11_INBODY_HISTORY'!D3</f>
            </strRef>
          </tx>
          <spPr>
            <a:ln xmlns:a="http://schemas.openxmlformats.org/drawingml/2006/main">
              <a:prstDash val="solid"/>
            </a:ln>
          </spPr>
          <cat>
            <numRef>
              <f>'11_INBODY_HISTORY'!$A$4</f>
            </numRef>
          </cat>
          <val>
            <numRef>
              <f>'11_INBODY_HISTORY'!$D$4</f>
            </numRef>
          </val>
        </ser>
        <ser>
          <idx val="2"/>
          <order val="2"/>
          <tx>
            <strRef>
              <f>'11_INBODY_HISTORY'!E3</f>
            </strRef>
          </tx>
          <spPr>
            <a:ln xmlns:a="http://schemas.openxmlformats.org/drawingml/2006/main">
              <a:prstDash val="solid"/>
            </a:ln>
          </spPr>
          <cat>
            <numRef>
              <f>'11_INBODY_HISTORY'!$A$4</f>
            </numRef>
          </cat>
          <val>
            <numRef>
              <f>'11_INBODY_HISTORY'!$E$4</f>
            </numRef>
          </val>
        </ser>
        <ser>
          <idx val="3"/>
          <order val="3"/>
          <tx>
            <strRef>
              <f>'11_INBODY_HISTORY'!F3</f>
            </strRef>
          </tx>
          <spPr>
            <a:ln xmlns:a="http://schemas.openxmlformats.org/drawingml/2006/main">
              <a:prstDash val="solid"/>
            </a:ln>
          </spPr>
          <cat>
            <numRef>
              <f>'11_INBODY_HISTORY'!$A$4</f>
            </numRef>
          </cat>
          <val>
            <numRef>
              <f>'11_INBODY_HISTORY'!$F$4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Lần Đo InBody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Khối lượng (kg)</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3"/>
  <chart>
    <title>
      <tx>
        <rich>
          <a:bodyPr xmlns:a="http://schemas.openxmlformats.org/drawingml/2006/main"/>
          <a:p xmlns:a="http://schemas.openxmlformats.org/drawingml/2006/main">
            <a:pPr>
              <a:defRPr/>
            </a:pPr>
            <a:r>
              <a:t>Cân Nặng Buổi Sáng &amp; Đường Trung Bình 7 Ngày (kg)</a:t>
            </a:r>
          </a:p>
        </rich>
      </tx>
    </title>
    <plotArea>
      <lineChart>
        <grouping val="standard"/>
        <ser>
          <idx val="0"/>
          <order val="0"/>
          <tx>
            <strRef>
              <f>'10_BODY_WEIGHT_LOG'!C3</f>
            </strRef>
          </tx>
          <spPr>
            <a:ln xmlns:a="http://schemas.openxmlformats.org/drawingml/2006/main">
              <a:prstDash val="solid"/>
            </a:ln>
          </spPr>
          <marker>
            <symbol val="none"/>
            <spPr>
              <a:ln xmlns:a="http://schemas.openxmlformats.org/drawingml/2006/main">
                <a:prstDash val="solid"/>
              </a:ln>
            </spPr>
          </marker>
          <cat>
            <numRef>
              <f>'10_BODY_WEIGHT_LOG'!$A$4:$A$24</f>
            </numRef>
          </cat>
          <val>
            <numRef>
              <f>'10_BODY_WEIGHT_LOG'!$C$4:$C$24</f>
            </numRef>
          </val>
        </ser>
        <ser>
          <idx val="1"/>
          <order val="1"/>
          <tx>
            <strRef>
              <f>'10_BODY_WEIGHT_LOG'!L3</f>
            </strRef>
          </tx>
          <spPr>
            <a:ln xmlns:a="http://schemas.openxmlformats.org/drawingml/2006/main">
              <a:prstDash val="solid"/>
            </a:ln>
          </spPr>
          <marker>
            <symbol val="none"/>
            <spPr>
              <a:ln xmlns:a="http://schemas.openxmlformats.org/drawingml/2006/main">
                <a:prstDash val="solid"/>
              </a:ln>
            </spPr>
          </marker>
          <val>
            <numRef>
              <f>'10_BODY_WEIGHT_LOG'!$L$4:$L$24</f>
            </numRef>
          </val>
        </ser>
        <axId val="10"/>
        <axId val="100"/>
      </lineChart>
      <catAx>
        <axId val="10"/>
        <scaling>
          <orientation val="minMax"/>
        </scaling>
        <axPos val="l"/>
        <title>
          <tx>
            <rich>
              <a:bodyPr xmlns:a="http://schemas.openxmlformats.org/drawingml/2006/main"/>
              <a:p xmlns:a="http://schemas.openxmlformats.org/drawingml/2006/main">
                <a:pPr>
                  <a:defRPr/>
                </a:pPr>
                <a:r>
                  <a:t>Ngày Theo Dõi</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Cân Nặng (kg)</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Lộ Trình Các Cột Mốc Cân Nặng Mục Tiêu (kg)</a:t>
            </a:r>
          </a:p>
        </rich>
      </tx>
    </title>
    <plotArea>
      <barChart>
        <barDir val="col"/>
        <grouping val="clustered"/>
        <ser>
          <idx val="0"/>
          <order val="0"/>
          <tx>
            <strRef>
              <f>'13_DASHBOARD'!J12</f>
            </strRef>
          </tx>
          <spPr>
            <a:ln xmlns:a="http://schemas.openxmlformats.org/drawingml/2006/main">
              <a:prstDash val="solid"/>
            </a:ln>
          </spPr>
          <cat>
            <numRef>
              <f>'13_DASHBOARD'!$I$13:$I$17</f>
            </numRef>
          </cat>
          <val>
            <numRef>
              <f>'13_DASHBOARD'!$J$13:$J$17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Giai đoạn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Mục Tiêu (kg)</a:t>
                </a:r>
              </a:p>
            </rich>
          </tx>
        </title>
        <majorTickMark val="none"/>
        <minorTickMark val="none"/>
        <crossAx val="10"/>
      </valAx>
    </plotArea>
    <plotVisOnly val="1"/>
    <dispBlanksAs val="gap"/>
  </chart>
</chartSpace>
</file>

<file path=xl/charts/chart4.xml><?xml version="1.0" encoding="utf-8"?>
<chartSpace xmlns="http://schemas.openxmlformats.org/drawingml/2006/chart">
  <style val="11"/>
  <chart>
    <title>
      <tx>
        <rich>
          <a:bodyPr xmlns:a="http://schemas.openxmlformats.org/drawingml/2006/main"/>
          <a:p xmlns:a="http://schemas.openxmlformats.org/drawingml/2006/main">
            <a:pPr>
              <a:defRPr/>
            </a:pPr>
            <a:r>
              <a:t>Số Buổi Tập Dự Kiến vs Hoàn Thành Thực Tế (Theo Tuần)</a:t>
            </a:r>
          </a:p>
        </rich>
      </tx>
    </title>
    <plotArea>
      <barChart>
        <barDir val="col"/>
        <grouping val="clustered"/>
        <ser>
          <idx val="0"/>
          <order val="0"/>
          <tx>
            <strRef>
              <f>'12_WEEKLY_REVIEW'!K3</f>
            </strRef>
          </tx>
          <spPr>
            <a:ln xmlns:a="http://schemas.openxmlformats.org/drawingml/2006/main">
              <a:prstDash val="solid"/>
            </a:ln>
          </spPr>
          <cat>
            <numRef>
              <f>'12_WEEKLY_REVIEW'!$A$4:$A$10</f>
            </numRef>
          </cat>
          <val>
            <numRef>
              <f>'12_WEEKLY_REVIEW'!$K$4:$K$10</f>
            </numRef>
          </val>
        </ser>
        <ser>
          <idx val="1"/>
          <order val="1"/>
          <tx>
            <strRef>
              <f>'12_WEEKLY_REVIEW'!L3</f>
            </strRef>
          </tx>
          <spPr>
            <a:ln xmlns:a="http://schemas.openxmlformats.org/drawingml/2006/main">
              <a:prstDash val="solid"/>
            </a:ln>
          </spPr>
          <cat>
            <numRef>
              <f>'12_WEEKLY_REVIEW'!$A$4:$A$10</f>
            </numRef>
          </cat>
          <val>
            <numRef>
              <f>'12_WEEKLY_REVIEW'!$L$4:$L$10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Tuần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Số Buổi Tập</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13"/>
  <chart>
    <title>
      <tx>
        <rich>
          <a:bodyPr xmlns:a="http://schemas.openxmlformats.org/drawingml/2006/main"/>
          <a:p xmlns:a="http://schemas.openxmlformats.org/drawingml/2006/main">
            <a:pPr>
              <a:defRPr/>
            </a:pPr>
            <a:r>
              <a:t>Năng Lượng Ăn Vào Hằng Ngày vs Mục Tiêu (2.100 kcal)</a:t>
            </a:r>
          </a:p>
        </rich>
      </tx>
    </title>
    <plotArea>
      <lineChart>
        <grouping val="standard"/>
        <ser>
          <idx val="0"/>
          <order val="0"/>
          <tx>
            <strRef>
              <f>'06_DAILY_NUTRITION_LOG'!P4</f>
            </strRef>
          </tx>
          <spPr>
            <a:ln xmlns:a="http://schemas.openxmlformats.org/drawingml/2006/main">
              <a:prstDash val="solid"/>
            </a:ln>
          </spPr>
          <marker>
            <symbol val="none"/>
            <spPr>
              <a:ln xmlns:a="http://schemas.openxmlformats.org/drawingml/2006/main">
                <a:prstDash val="solid"/>
              </a:ln>
            </spPr>
          </marker>
          <cat>
            <numRef>
              <f>'06_DAILY_NUTRITION_LOG'!$N$5:$N$18</f>
            </numRef>
          </cat>
          <val>
            <numRef>
              <f>'06_DAILY_NUTRITION_LOG'!$P$5:$P$18</f>
            </numRef>
          </val>
        </ser>
        <axId val="10"/>
        <axId val="100"/>
      </lineChart>
      <catAx>
        <axId val="10"/>
        <scaling>
          <orientation val="minMax"/>
        </scaling>
        <axPos val="l"/>
        <title>
          <tx>
            <rich>
              <a:bodyPr xmlns:a="http://schemas.openxmlformats.org/drawingml/2006/main"/>
              <a:p xmlns:a="http://schemas.openxmlformats.org/drawingml/2006/main">
                <a:pPr>
                  <a:defRPr/>
                </a:pPr>
                <a:r>
                  <a:t>Ngày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Năng Lượng (kcal)</a:t>
                </a:r>
              </a:p>
            </rich>
          </tx>
        </title>
        <majorTickMark val="none"/>
        <minorTickMark val="none"/>
        <crossAx val="10"/>
      </valAx>
    </plotArea>
    <legend>
      <legendPos val="r"/>
    </legend>
    <plotVisOnly val="1"/>
    <dispBlanksAs val="gap"/>
  </chart>
</chartSpace>
</file>

<file path=xl/charts/chart6.xml><?xml version="1.0" encoding="utf-8"?>
<chartSpace xmlns="http://schemas.openxmlformats.org/drawingml/2006/chart">
  <style val="13"/>
  <chart>
    <title>
      <tx>
        <rich>
          <a:bodyPr xmlns:a="http://schemas.openxmlformats.org/drawingml/2006/main"/>
          <a:p xmlns:a="http://schemas.openxmlformats.org/drawingml/2006/main">
            <a:pPr>
              <a:defRPr/>
            </a:pPr>
            <a:r>
              <a:t>Protein Ăn Vào Hằng Ngày vs Mục Tiêu (100.0 g/ngày)</a:t>
            </a:r>
          </a:p>
        </rich>
      </tx>
    </title>
    <plotArea>
      <lineChart>
        <grouping val="standard"/>
        <ser>
          <idx val="0"/>
          <order val="0"/>
          <tx>
            <strRef>
              <f>'06_DAILY_NUTRITION_LOG'!Q4</f>
            </strRef>
          </tx>
          <spPr>
            <a:ln xmlns:a="http://schemas.openxmlformats.org/drawingml/2006/main">
              <a:prstDash val="solid"/>
            </a:ln>
          </spPr>
          <marker>
            <symbol val="none"/>
            <spPr>
              <a:ln xmlns:a="http://schemas.openxmlformats.org/drawingml/2006/main">
                <a:prstDash val="solid"/>
              </a:ln>
            </spPr>
          </marker>
          <cat>
            <numRef>
              <f>'06_DAILY_NUTRITION_LOG'!$N$5:$N$18</f>
            </numRef>
          </cat>
          <val>
            <numRef>
              <f>'06_DAILY_NUTRITION_LOG'!$Q$5:$Q$18</f>
            </numRef>
          </val>
        </ser>
        <axId val="10"/>
        <axId val="100"/>
      </lineChart>
      <catAx>
        <axId val="10"/>
        <scaling>
          <orientation val="minMax"/>
        </scaling>
        <axPos val="l"/>
        <title>
          <tx>
            <rich>
              <a:bodyPr xmlns:a="http://schemas.openxmlformats.org/drawingml/2006/main"/>
              <a:p xmlns:a="http://schemas.openxmlformats.org/drawingml/2006/main">
                <a:pPr>
                  <a:defRPr/>
                </a:pPr>
                <a:r>
                  <a:t>Ngày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Protein (g)</a:t>
                </a:r>
              </a:p>
            </rich>
          </tx>
        </title>
        <majorTickMark val="none"/>
        <minorTickMark val="none"/>
        <crossAx val="10"/>
      </valAx>
    </plotArea>
    <legend>
      <legendPos val="r"/>
    </legend>
    <plotVisOnly val="1"/>
    <dispBlanksAs val="gap"/>
  </chart>
</chartSpace>
</file>

<file path=xl/charts/chart7.xml><?xml version="1.0" encoding="utf-8"?>
<chartSpace xmlns="http://schemas.openxmlformats.org/drawingml/2006/chart">
  <style val="10"/>
  <chart>
    <title>
      <tx>
        <rich>
          <a:bodyPr xmlns:a="http://schemas.openxmlformats.org/drawingml/2006/main"/>
          <a:p xmlns:a="http://schemas.openxmlformats.org/drawingml/2006/main">
            <a:pPr>
              <a:defRPr/>
            </a:pPr>
            <a:r>
              <a:t>Khối Lượng Tập Luyện (Volume Load = Tạ x Reps) Buổi Tập</a:t>
            </a:r>
          </a:p>
        </rich>
      </tx>
    </title>
    <plotArea>
      <barChart>
        <barDir val="col"/>
        <grouping val="clustered"/>
        <ser>
          <idx val="0"/>
          <order val="0"/>
          <tx>
            <strRef>
              <f>'09_WORKOUT_LOG'!Q3</f>
            </strRef>
          </tx>
          <spPr>
            <a:ln xmlns:a="http://schemas.openxmlformats.org/drawingml/2006/main">
              <a:prstDash val="solid"/>
            </a:ln>
          </spPr>
          <cat>
            <numRef>
              <f>'09_WORKOUT_LOG'!$O$4:$O$11</f>
            </numRef>
          </cat>
          <val>
            <numRef>
              <f>'09_WORKOUT_LOG'!$Q$4:$Q$11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Buổi Tập</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Volume (kg x reps)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 Type="http://schemas.openxmlformats.org/officeDocument/2006/relationships/chart" Target="/xl/charts/chart4.xml" Id="rId3"/><Relationship Type="http://schemas.openxmlformats.org/officeDocument/2006/relationships/chart" Target="/xl/charts/chart5.xml" Id="rId4"/><Relationship Type="http://schemas.openxmlformats.org/officeDocument/2006/relationships/chart" Target="/xl/charts/chart6.xml" Id="rId5"/><Relationship Type="http://schemas.openxmlformats.org/officeDocument/2006/relationships/chart" Target="/xl/charts/chart7.xml" Id="rId6"/></Relationships>
</file>

<file path=xl/drawings/drawing1.xml><?xml version="1.0" encoding="utf-8"?>
<wsDr xmlns="http://schemas.openxmlformats.org/drawingml/2006/spreadsheetDrawing">
  <oneCellAnchor>
    <from>
      <col>1</col>
      <colOff>0</colOff>
      <row>14</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11</row>
      <rowOff>0</rowOff>
    </from>
    <ext cx="612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11</row>
      <rowOff>0</rowOff>
    </from>
    <ext cx="540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25</row>
      <rowOff>0</rowOff>
    </from>
    <ext cx="6120000" cy="39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8</col>
      <colOff>0</colOff>
      <row>25</row>
      <rowOff>0</rowOff>
    </from>
    <ext cx="5400000" cy="39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38</row>
      <rowOff>0</rowOff>
    </from>
    <ext cx="5760000" cy="342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8</col>
      <colOff>0</colOff>
      <row>38</row>
      <rowOff>0</rowOff>
    </from>
    <ext cx="5760000" cy="342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0F172A"/>
    <outlinePr summaryBelow="1" summaryRight="1"/>
    <pageSetUpPr/>
  </sheetPr>
  <dimension ref="B2:E52"/>
  <sheetViews>
    <sheetView showGridLines="1" workbookViewId="0">
      <selection activeCell="A1" sqref="A1"/>
    </sheetView>
  </sheetViews>
  <sheetFormatPr baseColWidth="8" defaultRowHeight="15"/>
  <cols>
    <col width="5" customWidth="1" min="1" max="1"/>
    <col width="28" customWidth="1" min="2" max="2"/>
    <col width="45" customWidth="1" min="3" max="3"/>
    <col width="25" customWidth="1" min="4" max="4"/>
    <col width="25" customWidth="1" min="5" max="5"/>
  </cols>
  <sheetData>
    <row r="2" ht="40" customHeight="1">
      <c r="B2" s="1" t="inlineStr">
        <is>
          <t>HỆ THỐNG TRACKING TĂNG CÂN &amp; TĂNG CƠ CÁ NHÂN HÓA (BULKING SYSTEM 2026)</t>
        </is>
      </c>
    </row>
    <row r="3" ht="24" customHeight="1">
      <c r="B3" s="2" t="inlineStr">
        <is>
          <t>Thiết kế tích hợp: S&amp;C Coach • Chuyên gia Dinh dưỡng Thể thao • Kỹ sư Excel &amp; Phân tích Dữ liệu</t>
        </is>
      </c>
    </row>
    <row r="5" ht="38" customHeight="1">
      <c r="B5" s="3" t="inlineStr">
        <is>
          <t>⚠️ CẢNH BÁO SỨC KHỎE QUAN TRỌNG (HEALTH &amp; MEDICAL DISCLAIMER):
Chỉ số BMI baseline ngày 19/10/2026 là 16.4 (Chiều cao 175cm, Cân nặng 50.3kg) thuộc phân loại THIẾU CÂN ĐÁNG LƯU Ý đối với nam giới trưởng thành. Tỷ lệ mỡ PBF 7.8% là mức rất thấp. Workbook này là công cụ tự theo dõi thói quen dinh dưỡng và tập luyện cá nhân hóa, KHÔNG THAY THẾ CHẨN ĐOÁN HOẶC CHỈ ĐỊNH Y KHOA. Khuyến nghị bạn đi khám tổng quát và tham khảo ý kiến Bác sĩ/Chuyên gia Dinh dưỡng lâm sàng, đặc biệt nếu tình trạng thiếu cân kéo dài, có sút cân không chủ ý hoặc có triệu chứng tiêu hóa/mệt mỏi bất thường.</t>
        </is>
      </c>
      <c r="C5" s="94" t="n"/>
      <c r="D5" s="94" t="n"/>
      <c r="E5" s="95" t="n"/>
    </row>
    <row r="6" ht="38" customHeight="1">
      <c r="B6" s="96" t="n"/>
      <c r="C6" s="97" t="n"/>
      <c r="D6" s="97" t="n"/>
      <c r="E6" s="98" t="n"/>
    </row>
    <row r="8" ht="28" customHeight="1">
      <c r="B8" s="4" t="inlineStr">
        <is>
          <t>1. CHÚ GIẢI MÀU SẮC &amp; QUY TẮC NHẬP LIỆU (COLOR LEGEND &amp; INPUT CONVENTIONS)</t>
        </is>
      </c>
    </row>
    <row r="9">
      <c r="B9" s="5" t="inlineStr">
        <is>
          <t>Loại Ô / Quy Ước</t>
        </is>
      </c>
      <c r="C9" s="5" t="inlineStr">
        <is>
          <t>Mẫu Trực Quan &amp; Ý Nghĩa</t>
        </is>
      </c>
      <c r="D9" s="5" t="inlineStr">
        <is>
          <t>Hành Động Của Bạn</t>
        </is>
      </c>
      <c r="E9" s="5" t="inlineStr">
        <is>
          <t>Ghi Chú Kỹ Thuật</t>
        </is>
      </c>
    </row>
    <row r="10" ht="24" customHeight="1">
      <c r="B10" s="6" t="inlineStr">
        <is>
          <t>Ô Nhập Liệu Người Dùng (User Input)</t>
        </is>
      </c>
      <c r="C10" s="7" t="inlineStr">
        <is>
          <t>Màu Xanh Nhạt viền Xanh</t>
        </is>
      </c>
      <c r="D10" s="8" t="inlineStr">
        <is>
          <t>Người dùng tự nhập tay hoặc chọn từ Dropdown.</t>
        </is>
      </c>
      <c r="E10" s="8" t="inlineStr">
        <is>
          <t>Tương thích Microsoft Excel macOS &amp; Windows</t>
        </is>
      </c>
    </row>
    <row r="11" ht="24" customHeight="1">
      <c r="B11" s="6" t="inlineStr">
        <is>
          <t>Ô Công Thức Tự Động (Automated Formula)</t>
        </is>
      </c>
      <c r="C11" s="9" t="inlineStr">
        <is>
          <t>Màu Xám Nhẹ Neutral</t>
        </is>
      </c>
      <c r="D11" s="8" t="inlineStr">
        <is>
          <t>Tuyệt đối không sửa! Công thức tự tính toán.</t>
        </is>
      </c>
      <c r="E11" s="8" t="inlineStr">
        <is>
          <t>Tương thích Microsoft Excel macOS &amp; Windows</t>
        </is>
      </c>
    </row>
    <row r="12" ht="24" customHeight="1">
      <c r="B12" s="6" t="inlineStr">
        <is>
          <t>Cột Mốc / Đạt Chỉ Tiêu (Target Hit / Success)</t>
        </is>
      </c>
      <c r="C12" s="10" t="inlineStr">
        <is>
          <t>Màu Xanh Lá (Emerald)</t>
        </is>
      </c>
      <c r="D12" s="8" t="inlineStr">
        <is>
          <t>Đã hoàn thành mục tiêu hoặc tuân thủ tốt.</t>
        </is>
      </c>
      <c r="E12" s="8" t="inlineStr">
        <is>
          <t>Tương thích Microsoft Excel macOS &amp; Windows</t>
        </is>
      </c>
    </row>
    <row r="13" ht="24" customHeight="1">
      <c r="B13" s="6" t="inlineStr">
        <is>
          <t>Cảnh Báo / Cần Cấu Hình (Warning / Pending)</t>
        </is>
      </c>
      <c r="C13" s="11" t="inlineStr">
        <is>
          <t>Màu Vàng Hổ Phách (Amber)</t>
        </is>
      </c>
      <c r="D13" s="8" t="inlineStr">
        <is>
          <t>Thông tin chưa cấu hình hoặc số liệu thiếu.</t>
        </is>
      </c>
      <c r="E13" s="8" t="inlineStr">
        <is>
          <t>Tương thích Microsoft Excel macOS &amp; Windows</t>
        </is>
      </c>
    </row>
    <row r="14" ht="24" customHeight="1">
      <c r="B14" s="6" t="inlineStr">
        <is>
          <t>Dữ Liệu Mẫu Tham Khảo (Sample Data)</t>
        </is>
      </c>
      <c r="C14" s="12" t="inlineStr">
        <is>
          <t>Màu Tím Nhạt (Purple)</t>
        </is>
      </c>
      <c r="D14" s="8" t="inlineStr">
        <is>
          <t>Dữ liệu mẫu minh họa [SAMPLE], không tính vào kết quả thật.</t>
        </is>
      </c>
      <c r="E14" s="8" t="inlineStr">
        <is>
          <t>Tương thích Microsoft Excel macOS &amp; Windows</t>
        </is>
      </c>
    </row>
    <row r="16" ht="28" customHeight="1">
      <c r="B16" s="4" t="inlineStr">
        <is>
          <t>2. QUY TRÌNH VẬN HÀNH CHUẨN (DAILY - WEEKLY - MONTHLY WORKFLOW)</t>
        </is>
      </c>
    </row>
    <row r="17">
      <c r="B17" s="5" t="inlineStr">
        <is>
          <t>Tần Suất</t>
        </is>
      </c>
      <c r="C17" s="5" t="inlineStr">
        <is>
          <t>Bước Thực Hiện</t>
        </is>
      </c>
      <c r="D17" s="5" t="inlineStr">
        <is>
          <t>Hướng Dẫn Chi Tiết Chuyên Gia</t>
        </is>
      </c>
      <c r="E17" s="5" t="inlineStr">
        <is>
          <t>Worksheet Trọng Tâm</t>
        </is>
      </c>
    </row>
    <row r="18" ht="24" customHeight="1">
      <c r="B18" s="6" t="inlineStr">
        <is>
          <t>MỖI NGÀY (Hằng sáng)</t>
        </is>
      </c>
      <c r="C18" s="6" t="inlineStr">
        <is>
          <t>1. Cân sáng</t>
        </is>
      </c>
      <c r="D18" s="8" t="inlineStr">
        <is>
          <t>Cân ngay sau khi thức dậy và đi vệ sinh, trước khi ăn uống. Nhập vào Sheet 10.</t>
        </is>
      </c>
      <c r="E18" s="13" t="inlineStr">
        <is>
          <t>Sheet 10_BODY_WEIGHT_LOG</t>
        </is>
      </c>
    </row>
    <row r="19" ht="24" customHeight="1">
      <c r="B19" s="6" t="inlineStr">
        <is>
          <t>MỖI NGÀY (Trong ngày)</t>
        </is>
      </c>
      <c r="C19" s="6" t="inlineStr">
        <is>
          <t>2. Ghi nhận món ăn</t>
        </is>
      </c>
      <c r="D19" s="8" t="inlineStr">
        <is>
          <t>Ghi lại từng món ăn và khối lượng (g/ml). Chọn mức tin cậy (Đã cân / Ước lượng).</t>
        </is>
      </c>
      <c r="E19" s="13" t="inlineStr">
        <is>
          <t>Sheet 06_DAILY_NUTRITION_LOG</t>
        </is>
      </c>
    </row>
    <row r="20" ht="24" customHeight="1">
      <c r="B20" s="6" t="inlineStr">
        <is>
          <t>MỖI NGÀY (Buổi tập)</t>
        </is>
      </c>
      <c r="C20" s="6" t="inlineStr">
        <is>
          <t>3. Ghi chép tạ &amp; reps</t>
        </is>
      </c>
      <c r="D20" s="8" t="inlineStr">
        <is>
          <t>Mở nhật ký tập luyện, ghi mức tạ thực tế, số reps đạt được và RIR từng hiệp.</t>
        </is>
      </c>
      <c r="E20" s="13" t="inlineStr">
        <is>
          <t>Sheet 09_WORKOUT_LOG</t>
        </is>
      </c>
    </row>
    <row r="21" ht="24" customHeight="1">
      <c r="B21" s="6" t="inlineStr">
        <is>
          <t>MỖI NGÀY (Cuối ngày)</t>
        </is>
      </c>
      <c r="C21" s="6" t="inlineStr">
        <is>
          <t>4. Kiểm tra chỉ tiêu</t>
        </is>
      </c>
      <c r="D21" s="8" t="inlineStr">
        <is>
          <t>Xem tổng calo/protein trong ngày. Đảm bảo trạng thái ngày chuyển thành COMPLETE.</t>
        </is>
      </c>
      <c r="E21" s="13" t="inlineStr">
        <is>
          <t>Sheet 06 &amp; 13_DASHBOARD</t>
        </is>
      </c>
    </row>
    <row r="22" ht="24" customHeight="1">
      <c r="B22" s="6" t="inlineStr">
        <is>
          <t>HẰNG TUẦN (Chủ nhật)</t>
        </is>
      </c>
      <c r="C22" s="6" t="inlineStr">
        <is>
          <t>5. Review &amp; Điều chỉnh</t>
        </is>
      </c>
      <c r="D22" s="8" t="inlineStr">
        <is>
          <t>Đánh giá cân nặng TB 7 ngày, tỷ lệ tuân thủ calo, số buổi tập hoàn thành.</t>
        </is>
      </c>
      <c r="E22" s="13" t="inlineStr">
        <is>
          <t>Sheet 12_WEEKLY_REVIEW</t>
        </is>
      </c>
    </row>
    <row r="23" ht="24" customHeight="1">
      <c r="B23" s="6" t="inlineStr">
        <is>
          <t>HẰNG THÁNG (4-8 tuần)</t>
        </is>
      </c>
      <c r="C23" s="6" t="inlineStr">
        <is>
          <t>6. Kiểm tra InBody</t>
        </is>
      </c>
      <c r="D23" s="8" t="inlineStr">
        <is>
          <t>Đo lại InBody trong cùng điều kiện. Đánh giá tốc độ tăng cơ SMM vs tăng mỡ.</t>
        </is>
      </c>
      <c r="E23" s="13" t="inlineStr">
        <is>
          <t>Sheet 11_INBODY_HISTORY</t>
        </is>
      </c>
    </row>
    <row r="25" ht="28" customHeight="1">
      <c r="B25" s="4" t="inlineStr">
        <is>
          <t>3. DANH MỤC WORKSHEETS &amp; CHỨC NĂNG HỆ THỐNG (SYSTEM DIRECTORY)</t>
        </is>
      </c>
    </row>
    <row r="26">
      <c r="B26" s="5" t="inlineStr">
        <is>
          <t>Tên Sheet</t>
        </is>
      </c>
      <c r="C26" s="5" t="inlineStr">
        <is>
          <t>Tên Tiếng Việt</t>
        </is>
      </c>
      <c r="D26" s="5" t="inlineStr">
        <is>
          <t>Chức Năng &amp; Mục Đích</t>
        </is>
      </c>
      <c r="E26" s="5" t="inlineStr">
        <is>
          <t>Trạng Thái Sử Dụng</t>
        </is>
      </c>
    </row>
    <row r="27" ht="24" customHeight="1">
      <c r="B27" s="6" t="inlineStr">
        <is>
          <t>00_START_HERE</t>
        </is>
      </c>
      <c r="C27" s="6" t="inlineStr">
        <is>
          <t>Bắt đầu tại đây</t>
        </is>
      </c>
      <c r="D27" s="8" t="inlineStr">
        <is>
          <t>Hướng dẫn sử dụng, checklist khởi tạo, quy trình SOP &amp; cảnh báo y tế.</t>
        </is>
      </c>
      <c r="E27" s="8" t="inlineStr">
        <is>
          <t>Bắt buộc đọc trước khi dùng</t>
        </is>
      </c>
    </row>
    <row r="28" ht="24" customHeight="1">
      <c r="B28" s="6" t="inlineStr">
        <is>
          <t>01_PROFILE_GOALS</t>
        </is>
      </c>
      <c r="C28" s="6" t="inlineStr">
        <is>
          <t>Hồ sơ &amp; Mục tiêu</t>
        </is>
      </c>
      <c r="D28" s="8" t="inlineStr">
        <is>
          <t>Quản lý dữ liệu nhân trắc, baseline 19/10/2026, các cột mốc 55-60-65kg &amp; thói quen sinh hoạt.</t>
        </is>
      </c>
      <c r="E28" s="8" t="inlineStr">
        <is>
          <t>Bổ sung thông tin còn thiếu</t>
        </is>
      </c>
    </row>
    <row r="29" ht="24" customHeight="1">
      <c r="B29" s="6" t="inlineStr">
        <is>
          <t>02_NUTRITION_SETUP</t>
        </is>
      </c>
      <c r="C29" s="6" t="inlineStr">
        <is>
          <t>Thiết lập Dinh dưỡng</t>
        </is>
      </c>
      <c r="D29" s="8" t="inlineStr">
        <is>
          <t>Phân tích BMR, TDEE, lộ trình calo thặng dư an toàn &amp; chia tỷ lệ Macronutrients.</t>
        </is>
      </c>
      <c r="E29" s="8" t="inlineStr">
        <is>
          <t>Đang ở mức Thử nghiệm</t>
        </is>
      </c>
    </row>
    <row r="30" ht="24" customHeight="1">
      <c r="B30" s="6" t="inlineStr">
        <is>
          <t>03_FOOD_DATABASE</t>
        </is>
      </c>
      <c r="C30" s="6" t="inlineStr">
        <is>
          <t>Cơ sở Thực phẩm</t>
        </is>
      </c>
      <c r="D30" s="8" t="inlineStr">
        <is>
          <t>Database 40+ thực phẩm Việt Nam, phân định sống/chín, calo, protein, carb, fat, giá tiền.</t>
        </is>
      </c>
      <c r="E30" s="8" t="inlineStr">
        <is>
          <t>Tra cứu &amp; bổ sung món mới</t>
        </is>
      </c>
    </row>
    <row r="31" ht="24" customHeight="1">
      <c r="B31" s="6" t="inlineStr">
        <is>
          <t>04_RECIPE_DATABASE</t>
        </is>
      </c>
      <c r="C31" s="6" t="inlineStr">
        <is>
          <t>Công thức Món ăn</t>
        </is>
      </c>
      <c r="D31" s="8" t="inlineStr">
        <is>
          <t>Quản lý công thức sinh tố tăng cân, bữa ăn sinh viên, tính tự động macro từ Food DB.</t>
        </is>
      </c>
      <c r="E31" s="8" t="inlineStr">
        <is>
          <t>Mẫu tham khảo [SAMPLE]</t>
        </is>
      </c>
    </row>
    <row r="32" ht="24" customHeight="1">
      <c r="B32" s="6" t="inlineStr">
        <is>
          <t>05_WEEKLY_MEAL_PLAN</t>
        </is>
      </c>
      <c r="C32" s="6" t="inlineStr">
        <is>
          <t>Kế hoạch Thực đơn</t>
        </is>
      </c>
      <c r="D32" s="8" t="inlineStr">
        <is>
          <t>Lịch ăn mẫu 7 ngày tối ưu chi phí &amp; thời gian chuẩn bị bữa cho sinh viên.</t>
        </is>
      </c>
      <c r="E32" s="8" t="inlineStr">
        <is>
          <t>Kế hoạch tuần</t>
        </is>
      </c>
    </row>
    <row r="33" ht="24" customHeight="1">
      <c r="B33" s="6" t="inlineStr">
        <is>
          <t>06_DAILY_NUTRITION_LOG</t>
        </is>
      </c>
      <c r="C33" s="6" t="inlineStr">
        <is>
          <t>Nhật ký Ăn uống</t>
        </is>
      </c>
      <c r="D33" s="8" t="inlineStr">
        <is>
          <t>Nhập thực tế những gì đã ăn mỗi ngày. Tự động tính calo, protein. Không tính ngày trống là 0 calo.</t>
        </is>
      </c>
      <c r="E33" s="13" t="inlineStr">
        <is>
          <t>Nhập hằng ngày</t>
        </is>
      </c>
    </row>
    <row r="34" ht="24" customHeight="1">
      <c r="B34" s="6" t="inlineStr">
        <is>
          <t>07_WORKOUT_EXERCISE_DB</t>
        </is>
      </c>
      <c r="C34" s="6" t="inlineStr">
        <is>
          <t>Danh mục Bài tập</t>
        </is>
      </c>
      <c r="D34" s="8" t="inlineStr">
        <is>
          <t>35 bài tập chuẩn Hypertrophy phân nhóm cơ, dụng cụ, kỹ thuật, an toàn &amp; bài thay thế.</t>
        </is>
      </c>
      <c r="E34" s="8" t="inlineStr">
        <is>
          <t>Tra cứu kỹ thuật</t>
        </is>
      </c>
    </row>
    <row r="35" ht="24" customHeight="1">
      <c r="B35" s="6" t="inlineStr">
        <is>
          <t>08_WEEKLY_WORKOUT_PLAN</t>
        </is>
      </c>
      <c r="C35" s="6" t="inlineStr">
        <is>
          <t>Giáo án Tập luyện</t>
        </is>
      </c>
      <c r="D35" s="8" t="inlineStr">
        <is>
          <t>Lịch tập 4 buổi Upper/Lower tối ưu phục hồi cho thể trạng 50.3kg, nguyên tắc tăng tải.</t>
        </is>
      </c>
      <c r="E35" s="8" t="inlineStr">
        <is>
          <t>Kế hoạch tập</t>
        </is>
      </c>
    </row>
    <row r="36" ht="24" customHeight="1">
      <c r="B36" s="6" t="inlineStr">
        <is>
          <t>09_WORKOUT_LOG</t>
        </is>
      </c>
      <c r="C36" s="6" t="inlineStr">
        <is>
          <t>Nhật ký Tập luyện</t>
        </is>
      </c>
      <c r="D36" s="8" t="inlineStr">
        <is>
          <t>Ghi chép chi tiết từng hiệp tập: mức tạ, reps, RIR/RPE, phát hiện chững tạ &amp; đau bất thường.</t>
        </is>
      </c>
      <c r="E36" s="13" t="inlineStr">
        <is>
          <t>Nhập sau mỗi buổi tập</t>
        </is>
      </c>
    </row>
    <row r="37" ht="24" customHeight="1">
      <c r="B37" s="6" t="inlineStr">
        <is>
          <t>10_BODY_WEIGHT_LOG</t>
        </is>
      </c>
      <c r="C37" s="6" t="inlineStr">
        <is>
          <t>Theo dõi Cân nặng</t>
        </is>
      </c>
      <c r="D37" s="8" t="inlineStr">
        <is>
          <t>Ghi cân nặng sáng 24 tuần, vòng eo, trung bình 7 ngày, khoảng cách tới mốc 55-60-65kg.</t>
        </is>
      </c>
      <c r="E37" s="13" t="inlineStr">
        <is>
          <t>Nhập mỗi sáng</t>
        </is>
      </c>
    </row>
    <row r="38" ht="24" customHeight="1">
      <c r="B38" s="6" t="inlineStr">
        <is>
          <t>11_INBODY_HISTORY</t>
        </is>
      </c>
      <c r="C38" s="6" t="inlineStr">
        <is>
          <t>Lịch sử InBody</t>
        </is>
      </c>
      <c r="D38" s="8" t="inlineStr">
        <is>
          <t>Lưu trữ các lần đo InBody định kỳ (Baseline 19/10/2026 nhập sẵn) và biểu đồ tiến triển.</t>
        </is>
      </c>
      <c r="E38" s="8" t="inlineStr">
        <is>
          <t>Cập nhật mỗi 4-8 tuần</t>
        </is>
      </c>
    </row>
    <row r="39" ht="24" customHeight="1">
      <c r="B39" s="6" t="inlineStr">
        <is>
          <t>12_WEEKLY_REVIEW</t>
        </is>
      </c>
      <c r="C39" s="6" t="inlineStr">
        <is>
          <t>Đánh giá Hằng tuần</t>
        </is>
      </c>
      <c r="D39" s="8" t="inlineStr">
        <is>
          <t>Tổng kết 24 tuần: Calo TB, Cân nặng TB, Tuân thủ tập, Framework ra quyết định điều chỉnh.</t>
        </is>
      </c>
      <c r="E39" s="8" t="inlineStr">
        <is>
          <t>Tổng kết Chủ nhật</t>
        </is>
      </c>
    </row>
    <row r="40" ht="24" customHeight="1">
      <c r="B40" s="6" t="inlineStr">
        <is>
          <t>13_DASHBOARD</t>
        </is>
      </c>
      <c r="C40" s="6" t="inlineStr">
        <is>
          <t>Bảng Điều Khiển Tổng Quan</t>
        </is>
      </c>
      <c r="D40" s="8" t="inlineStr">
        <is>
          <t>Trung tâm phân tích trực quan: KPI Cards, Biểu đồ cân nặng, Calo, Protein, Lịch tập.</t>
        </is>
      </c>
      <c r="E40" s="8" t="inlineStr">
        <is>
          <t>Xem tiến độ tổng thể</t>
        </is>
      </c>
    </row>
    <row r="41" ht="24" customHeight="1">
      <c r="B41" s="6" t="inlineStr">
        <is>
          <t>14_SETTINGS_VALIDATION</t>
        </is>
      </c>
      <c r="C41" s="6" t="inlineStr">
        <is>
          <t>Danh mục &amp; Cấu hình</t>
        </is>
      </c>
      <c r="D41" s="8" t="inlineStr">
        <is>
          <t>Chứa toàn bộ danh sách dropdown cho workbook: Bữa ăn, Nhóm cơ, Trạng thái, Thang đo.</t>
        </is>
      </c>
      <c r="E41" s="8" t="inlineStr">
        <is>
          <t>Cấu hình hệ thống</t>
        </is>
      </c>
    </row>
    <row r="44" ht="28" customHeight="1">
      <c r="B44" s="4" t="inlineStr">
        <is>
          <t>4. CHECKLIST KHỞI TẠO HỒ SƠ BAN ĐẦU (PROFILE INITIALIZATION CHECKLIST)</t>
        </is>
      </c>
    </row>
    <row r="45">
      <c r="B45" s="5" t="inlineStr">
        <is>
          <t>Hạng Mục Kiểm Tra</t>
        </is>
      </c>
      <c r="C45" s="5" t="inlineStr">
        <is>
          <t>Nội Dung Chi Tiết</t>
        </is>
      </c>
      <c r="D45" s="5" t="inlineStr">
        <is>
          <t>Trạng Thái Hiện Tại</t>
        </is>
      </c>
      <c r="E45" s="5" t="inlineStr">
        <is>
          <t>Hành Động Tiếp Theo</t>
        </is>
      </c>
    </row>
    <row r="46" ht="24" customHeight="1">
      <c r="B46" s="6" t="inlineStr">
        <is>
          <t>Số liệu InBody Baseline (19/10/2026)</t>
        </is>
      </c>
      <c r="C46" s="8" t="inlineStr">
        <is>
          <t>Chiều cao 175cm, Cân nặng 50.3kg, SMM 25.7kg, PBF 7.8%</t>
        </is>
      </c>
      <c r="D46" s="10" t="inlineStr">
        <is>
          <t>ĐÃ XÁC NHẬN</t>
        </is>
      </c>
      <c r="E46" s="8" t="inlineStr">
        <is>
          <t>Đã tích hợp sẵn vào Sheet 01 &amp; 11</t>
        </is>
      </c>
    </row>
    <row r="47" ht="24" customHeight="1">
      <c r="B47" s="6" t="inlineStr">
        <is>
          <t>Xác nhận số ngày tập gym khả thi</t>
        </is>
      </c>
      <c r="C47" s="8" t="inlineStr">
        <is>
          <t>Số buổi có thể tập đều đặn mỗi tuần (Khuyến nghị 3-4 buổi)</t>
        </is>
      </c>
      <c r="D47" s="11" t="inlineStr">
        <is>
          <t>CHƯA CẤU HÌNH</t>
        </is>
      </c>
      <c r="E47" s="8" t="inlineStr">
        <is>
          <t>Vào Sheet 01 để bổ sung</t>
        </is>
      </c>
    </row>
    <row r="48" ht="24" customHeight="1">
      <c r="B48" s="6" t="inlineStr">
        <is>
          <t>Xác nhận kinh nghiệm &amp; kỹ thuật tập</t>
        </is>
      </c>
      <c r="C48" s="8" t="inlineStr">
        <is>
          <t>Đã tập bao lâu, khả năng thực hiện Bench Press, Squat, Lat Pulldown</t>
        </is>
      </c>
      <c r="D48" s="11" t="inlineStr">
        <is>
          <t>CHƯA CẤU HÌNH</t>
        </is>
      </c>
      <c r="E48" s="8" t="inlineStr">
        <is>
          <t>Vào Sheet 01 để bổ sung</t>
        </is>
      </c>
    </row>
    <row r="49" ht="24" customHeight="1">
      <c r="B49" s="6" t="inlineStr">
        <is>
          <t>Xác nhận mức độ vận động ngoài gym (NEAT)</t>
        </is>
      </c>
      <c r="C49" s="8" t="inlineStr">
        <is>
          <t>Đi học, ngồi nhiều, đi bộ, làm việc chân tay...</t>
        </is>
      </c>
      <c r="D49" s="11" t="inlineStr">
        <is>
          <t>CHƯA CẤU HÌNH</t>
        </is>
      </c>
      <c r="E49" s="8" t="inlineStr">
        <is>
          <t>Vào Sheet 01 để bổ sung</t>
        </is>
      </c>
    </row>
    <row r="50" ht="24" customHeight="1">
      <c r="B50" s="6" t="inlineStr">
        <is>
          <t>Xác nhận thời gian ngủ trung bình</t>
        </is>
      </c>
      <c r="C50" s="8" t="inlineStr">
        <is>
          <t>Số giờ ngủ hằng đêm (Quan trọng sống còn cho tăng cơ)</t>
        </is>
      </c>
      <c r="D50" s="11" t="inlineStr">
        <is>
          <t>CHƯA CẤU HÌNH</t>
        </is>
      </c>
      <c r="E50" s="8" t="inlineStr">
        <is>
          <t>Vào Sheet 01 để bổ sung</t>
        </is>
      </c>
    </row>
    <row r="51" ht="24" customHeight="1">
      <c r="B51" s="6" t="inlineStr">
        <is>
          <t>Xác nhận ngân sách &amp; thói quen ăn uống</t>
        </is>
      </c>
      <c r="C51" s="8" t="inlineStr">
        <is>
          <t>Ngân sách/ngày, khả năng nấu nướng, dị ứng lactose...</t>
        </is>
      </c>
      <c r="D51" s="11" t="inlineStr">
        <is>
          <t>CHƯA CẤU HÌNH</t>
        </is>
      </c>
      <c r="E51" s="8" t="inlineStr">
        <is>
          <t>Vào Sheet 01 để bổ sung</t>
        </is>
      </c>
    </row>
    <row r="52" ht="24" customHeight="1">
      <c r="B52" s="6" t="inlineStr">
        <is>
          <t>Cân thử buổi sáng đầu tiên &amp; kiểm tra cân</t>
        </is>
      </c>
      <c r="C52" s="8" t="inlineStr">
        <is>
          <t>Sử dụng cùng 1 chiếc cân điện tử đặt trên mặt phẳng cứng</t>
        </is>
      </c>
      <c r="D52" s="11" t="inlineStr">
        <is>
          <t>CHỜ THỰC HIỆN</t>
        </is>
      </c>
      <c r="E52" s="8" t="inlineStr">
        <is>
          <t>Nhập vào dòng 5 Sheet 10</t>
        </is>
      </c>
    </row>
  </sheetData>
  <mergeCells count="7">
    <mergeCell ref="B8:E8"/>
    <mergeCell ref="B44:E44"/>
    <mergeCell ref="B16:E16"/>
    <mergeCell ref="B25:E25"/>
    <mergeCell ref="B3:E3"/>
    <mergeCell ref="B2:E2"/>
    <mergeCell ref="B5:E6"/>
  </mergeCells>
  <pageMargins left="0.75" right="0.75" top="1" bottom="1" header="0.5" footer="0.5"/>
</worksheet>
</file>

<file path=xl/worksheets/sheet2.xml><?xml version="1.0" encoding="utf-8"?>
<worksheet xmlns="http://schemas.openxmlformats.org/spreadsheetml/2006/main">
  <sheetPr>
    <tabColor rgb="001D4ED8"/>
    <outlinePr summaryBelow="1" summaryRight="1"/>
    <pageSetUpPr/>
  </sheetPr>
  <dimension ref="B2:E44"/>
  <sheetViews>
    <sheetView showGridLines="1" workbookViewId="0">
      <selection activeCell="A1" sqref="A1"/>
    </sheetView>
  </sheetViews>
  <sheetFormatPr baseColWidth="8" defaultRowHeight="15"/>
  <cols>
    <col width="5" customWidth="1" min="1" max="1"/>
    <col width="32" customWidth="1" min="2" max="2"/>
    <col width="25" customWidth="1" min="3" max="3"/>
    <col width="20" customWidth="1" min="4" max="4"/>
    <col width="38" customWidth="1" min="5" max="5"/>
  </cols>
  <sheetData>
    <row r="2" ht="36" customHeight="1">
      <c r="B2" s="1" t="inlineStr">
        <is>
          <t>HỒ SƠ CÁ NHÂN &amp; LỘ TRÌNH MỤC TIÊU (PROFILE &amp; GOALS)</t>
        </is>
      </c>
    </row>
    <row r="4" ht="26" customHeight="1">
      <c r="B4" s="4" t="inlineStr">
        <is>
          <t>1. THÔNG TIN NHÂN TRẮC &amp; CHỈ SỐ INBODY BAN ĐẦU (19/10/2026)</t>
        </is>
      </c>
    </row>
    <row r="5">
      <c r="B5" s="5" t="inlineStr">
        <is>
          <t>Chỉ Số / Thông Tin</t>
        </is>
      </c>
      <c r="C5" s="5" t="inlineStr">
        <is>
          <t>Giá Trị</t>
        </is>
      </c>
      <c r="D5" s="5" t="inlineStr">
        <is>
          <t>Trạng Thái</t>
        </is>
      </c>
      <c r="E5" s="5" t="inlineStr">
        <is>
          <t>Ghi Chú Chuyên Môn</t>
        </is>
      </c>
    </row>
    <row r="6" ht="23" customHeight="1">
      <c r="B6" s="6" t="inlineStr">
        <is>
          <t>Giới tính</t>
        </is>
      </c>
      <c r="C6" s="14" t="inlineStr">
        <is>
          <t>Nam</t>
        </is>
      </c>
      <c r="D6" s="10" t="inlineStr">
        <is>
          <t>ĐÃ XÁC NHẬN</t>
        </is>
      </c>
      <c r="E6" s="8" t="inlineStr">
        <is>
          <t>Đọc từ phiếu InBody</t>
        </is>
      </c>
    </row>
    <row r="7" ht="23" customHeight="1">
      <c r="B7" s="6" t="inlineStr">
        <is>
          <t>Tuổi</t>
        </is>
      </c>
      <c r="C7" s="14" t="n">
        <v>21</v>
      </c>
      <c r="D7" s="10" t="inlineStr">
        <is>
          <t>ĐÃ XÁC NHẬN</t>
        </is>
      </c>
      <c r="E7" s="8" t="inlineStr">
        <is>
          <t>21 tuổi</t>
        </is>
      </c>
    </row>
    <row r="8" ht="23" customHeight="1">
      <c r="B8" s="6" t="inlineStr">
        <is>
          <t>Chiều cao (Height)</t>
        </is>
      </c>
      <c r="C8" s="15" t="n">
        <v>175</v>
      </c>
      <c r="D8" s="10" t="inlineStr">
        <is>
          <t>ĐÃ XÁC NHẬN</t>
        </is>
      </c>
      <c r="E8" s="8" t="inlineStr">
        <is>
          <t>cm (Đo tại phòng tập)</t>
        </is>
      </c>
    </row>
    <row r="9" ht="23" customHeight="1">
      <c r="B9" s="6" t="inlineStr">
        <is>
          <t>Cân nặng Baseline (Weight)</t>
        </is>
      </c>
      <c r="C9" s="16" t="n">
        <v>50.3</v>
      </c>
      <c r="D9" s="10" t="inlineStr">
        <is>
          <t>ĐÃ XÁC NHẬN</t>
        </is>
      </c>
      <c r="E9" s="8" t="inlineStr">
        <is>
          <t>kg (Thời điểm đo 19/10/2026)</t>
        </is>
      </c>
    </row>
    <row r="10" ht="23" customHeight="1">
      <c r="B10" s="6" t="inlineStr">
        <is>
          <t>Chỉ số BMI Baseline</t>
        </is>
      </c>
      <c r="C10" s="17">
        <f>C9/((C8/100)^2)</f>
        <v/>
      </c>
      <c r="D10" s="9" t="inlineStr">
        <is>
          <t>TỰ ĐỘNG TÍNH</t>
        </is>
      </c>
      <c r="E10" s="8" t="inlineStr">
        <is>
          <t>kg/m² (Mức 16.4: Thiếu cân đáng lưu ý)</t>
        </is>
      </c>
    </row>
    <row r="11" ht="23" customHeight="1">
      <c r="B11" s="6" t="inlineStr">
        <is>
          <t>Khối lượng cơ xương (SMM)</t>
        </is>
      </c>
      <c r="C11" s="16" t="n">
        <v>25.7</v>
      </c>
      <c r="D11" s="10" t="inlineStr">
        <is>
          <t>ĐÃ XÁC NHẬN</t>
        </is>
      </c>
      <c r="E11" s="8" t="inlineStr">
        <is>
          <t>kg (Mục tiêu tăng lên &gt;30 kg)</t>
        </is>
      </c>
    </row>
    <row r="12" ht="23" customHeight="1">
      <c r="B12" s="6" t="inlineStr">
        <is>
          <t>Khối lượng mỡ (Body Fat Mass)</t>
        </is>
      </c>
      <c r="C12" s="16" t="n">
        <v>3.9</v>
      </c>
      <c r="D12" s="10" t="inlineStr">
        <is>
          <t>ĐÃ XÁC NHẬN</t>
        </is>
      </c>
      <c r="E12" s="8" t="inlineStr">
        <is>
          <t>kg (Rất thấp)</t>
        </is>
      </c>
    </row>
    <row r="13" ht="23" customHeight="1">
      <c r="B13" s="6" t="inlineStr">
        <is>
          <t>Tỷ lệ mỡ cơ thể (PBF)</t>
        </is>
      </c>
      <c r="C13" s="18" t="n">
        <v>0.078</v>
      </c>
      <c r="D13" s="10" t="inlineStr">
        <is>
          <t>ĐÃ XÁC NHẬN</t>
        </is>
      </c>
      <c r="E13" s="8" t="inlineStr">
        <is>
          <t>% (Số đo máy 7.8%)</t>
        </is>
      </c>
    </row>
    <row r="14" ht="23" customHeight="1">
      <c r="B14" s="6" t="inlineStr">
        <is>
          <t>Tỷ lệ trao đổi chất cơ bản (BMR)</t>
        </is>
      </c>
      <c r="C14" s="19" t="n">
        <v>1371</v>
      </c>
      <c r="D14" s="10" t="inlineStr">
        <is>
          <t>ĐÃ XÁC NHẬN</t>
        </is>
      </c>
      <c r="E14" s="8" t="inlineStr">
        <is>
          <t>kcal/ngày (Năng lượng duy trì sự sống cơ bản)</t>
        </is>
      </c>
    </row>
    <row r="15" ht="23" customHeight="1">
      <c r="B15" s="6" t="inlineStr">
        <is>
          <t>Năng lượng InBody khuyến nghị</t>
        </is>
      </c>
      <c r="C15" s="19" t="n">
        <v>2648</v>
      </c>
      <c r="D15" s="9" t="inlineStr">
        <is>
          <t>MỐC THAM KHẢO</t>
        </is>
      </c>
      <c r="E15" s="8" t="inlineStr">
        <is>
          <t>kcal/ngày (Cần kiểm chứng bằng thực tế)</t>
        </is>
      </c>
    </row>
    <row r="16" ht="23" customHeight="1">
      <c r="B16" s="6" t="inlineStr">
        <is>
          <t>Ngày bắt đầu tracking</t>
        </is>
      </c>
      <c r="C16" s="20" t="n">
        <v>46314</v>
      </c>
      <c r="D16" s="10" t="inlineStr">
        <is>
          <t>ĐÃ XÁC NHẬN</t>
        </is>
      </c>
      <c r="E16" s="8" t="inlineStr">
        <is>
          <t>Bắt đầu chu kỳ 24 tuần</t>
        </is>
      </c>
    </row>
    <row r="18" ht="26" customHeight="1">
      <c r="B18" s="4" t="inlineStr">
        <is>
          <t>2. THÓI QUEN SINH HOẠT, VẬN ĐỘNG &amp; NGÂN SÁCH (CẦN NGƯỜI DÙNG BỔ SUNG)</t>
        </is>
      </c>
    </row>
    <row r="19">
      <c r="B19" s="5" t="inlineStr">
        <is>
          <t>Trường Thông Tin</t>
        </is>
      </c>
      <c r="C19" s="5" t="inlineStr">
        <is>
          <t>Giá Trị Thiết Lập (Ô Nhập Liệu)</t>
        </is>
      </c>
      <c r="D19" s="5" t="inlineStr">
        <is>
          <t>Trạng Thái</t>
        </is>
      </c>
      <c r="E19" s="5" t="inlineStr">
        <is>
          <t>Hướng Dẫn / Lưu Ý Chuyên Gia</t>
        </is>
      </c>
    </row>
    <row r="20" ht="23" customHeight="1">
      <c r="B20" s="6" t="inlineStr">
        <is>
          <t>Số ngày tập gym mục tiêu mỗi tuần</t>
        </is>
      </c>
      <c r="C20" s="21" t="n">
        <v>4</v>
      </c>
      <c r="D20" s="11" t="inlineStr">
        <is>
          <t>CHƯA CẤU HÌNH</t>
        </is>
      </c>
      <c r="E20" s="8" t="inlineStr">
        <is>
          <t>buổi/tuần (Khuyến nghị 4 buổi: Upper/Lower)</t>
        </is>
      </c>
    </row>
    <row r="21" ht="23" customHeight="1">
      <c r="B21" s="6" t="inlineStr">
        <is>
          <t>Kinh nghiệm tập luyện thể hình</t>
        </is>
      </c>
      <c r="C21" s="21" t="inlineStr">
        <is>
          <t>Dưới 6 tháng / Đang làm quen</t>
        </is>
      </c>
      <c r="D21" s="11" t="inlineStr">
        <is>
          <t>CHƯA CẤU HÌNH</t>
        </is>
      </c>
      <c r="E21" s="8" t="inlineStr">
        <is>
          <t>Cần xác nhận kỹ thuật các bài cơ bản</t>
        </is>
      </c>
    </row>
    <row r="22" ht="23" customHeight="1">
      <c r="B22" s="6" t="inlineStr">
        <is>
          <t>Mức độ vận động ngoài gym (NEAT)</t>
        </is>
      </c>
      <c r="C22" s="21" t="inlineStr">
        <is>
          <t>Ngồi nhiều (Sinh viên / Văn phòng)</t>
        </is>
      </c>
      <c r="D22" s="11" t="inlineStr">
        <is>
          <t>CHƯA CẤU HÌNH</t>
        </is>
      </c>
      <c r="E22" s="8" t="inlineStr">
        <is>
          <t>Ảnh hưởng lớn đến mức tiêu hao TDEE</t>
        </is>
      </c>
    </row>
    <row r="23" ht="23" customHeight="1">
      <c r="B23" s="6" t="inlineStr">
        <is>
          <t>Thời gian ngủ trung bình mỗi đêm</t>
        </is>
      </c>
      <c r="C23" s="22" t="n">
        <v>7</v>
      </c>
      <c r="D23" s="11" t="inlineStr">
        <is>
          <t>CHƯA CẤU HÌNH</t>
        </is>
      </c>
      <c r="E23" s="8" t="inlineStr">
        <is>
          <t>giờ/đêm (Tối thiểu 7-8h để cơ bắp phục hồi)</t>
        </is>
      </c>
    </row>
    <row r="24" ht="23" customHeight="1">
      <c r="B24" s="6" t="inlineStr">
        <is>
          <t>Ngân sách ăn uống ước tính</t>
        </is>
      </c>
      <c r="C24" s="23" t="n">
        <v>90000</v>
      </c>
      <c r="D24" s="11" t="inlineStr">
        <is>
          <t>CHƯA CẤU HÌNH</t>
        </is>
      </c>
      <c r="E24" s="8" t="inlineStr">
        <is>
          <t>VNĐ/ngày (~2.700.000 VNĐ/tháng)</t>
        </is>
      </c>
    </row>
    <row r="25" ht="23" customHeight="1">
      <c r="B25" s="6" t="inlineStr">
        <is>
          <t>Số bữa ăn có thể duy trì mỗi ngày</t>
        </is>
      </c>
      <c r="C25" s="21" t="inlineStr">
        <is>
          <t>4 bữa (3 chính + 1 phụ)</t>
        </is>
      </c>
      <c r="D25" s="11" t="inlineStr">
        <is>
          <t>CHƯA CẤU HÌNH</t>
        </is>
      </c>
      <c r="E25" s="8" t="inlineStr">
        <is>
          <t>Chia nhỏ bữa giúp giảm áp lực dạ dày</t>
        </is>
      </c>
    </row>
    <row r="26" ht="23" customHeight="1">
      <c r="B26" s="6" t="inlineStr">
        <is>
          <t>Khẩu vị &amp; Thực phẩm thường ăn</t>
        </is>
      </c>
      <c r="C26" s="21" t="inlineStr">
        <is>
          <t>Cơm trắng, trứng, ức gà, thịt heo, chuối</t>
        </is>
      </c>
      <c r="D26" s="11" t="inlineStr">
        <is>
          <t>CHƯA CẤU HÌNH</t>
        </is>
      </c>
      <c r="E26" s="8" t="inlineStr">
        <is>
          <t>Ưu tiên thực phẩm dễ mua, giá rẻ</t>
        </is>
      </c>
    </row>
    <row r="27" ht="23" customHeight="1">
      <c r="B27" s="6" t="inlineStr">
        <is>
          <t>Dị ứng hoặc không dung nạp thức ăn</t>
        </is>
      </c>
      <c r="C27" s="21" t="inlineStr">
        <is>
          <t>Không có / Đang theo dõi lactose</t>
        </is>
      </c>
      <c r="D27" s="11" t="inlineStr">
        <is>
          <t>CHƯA CẤU HÌNH</t>
        </is>
      </c>
      <c r="E27" s="8" t="inlineStr">
        <is>
          <t>Lưu ý nếu uống sữa bò bị đầy bụng</t>
        </is>
      </c>
    </row>
    <row r="28" ht="23" customHeight="1">
      <c r="B28" s="6" t="inlineStr">
        <is>
          <t>Trang thiết bị tập luyện sẵn có</t>
        </is>
      </c>
      <c r="C28" s="21" t="inlineStr">
        <is>
          <t>Phòng gym thương mại đầy đủ máy &amp; tạ</t>
        </is>
      </c>
      <c r="D28" s="11" t="inlineStr">
        <is>
          <t>CHƯA CẤU HÌNH</t>
        </is>
      </c>
      <c r="E28" s="8" t="inlineStr">
        <is>
          <t>Đủ Barbell, Dumbbell, Cáp và Máy</t>
        </is>
      </c>
    </row>
    <row r="29" ht="23" customHeight="1">
      <c r="B29" s="6" t="inlineStr">
        <is>
          <t>Hạn chế chấn thương / Đau mỏi khớp</t>
        </is>
      </c>
      <c r="C29" s="21" t="inlineStr">
        <is>
          <t>Không có chấn thương lưng/khớp</t>
        </is>
      </c>
      <c r="D29" s="11" t="inlineStr">
        <is>
          <t>CHƯA CẤU HÌNH</t>
        </is>
      </c>
      <c r="E29" s="8" t="inlineStr">
        <is>
          <t>Nếu đau khớp cần đổi bài tập ngay</t>
        </is>
      </c>
    </row>
    <row r="30" ht="26" customHeight="1">
      <c r="B30" s="4" t="inlineStr">
        <is>
          <t>3. LỘ TRÌNH CÁC CỘT MỐC CÂN NẶNG &amp; TIẾN TRÌNH THỰC TẾ (WEIGHT MILESTONES)</t>
        </is>
      </c>
    </row>
    <row r="31">
      <c r="B31" s="5" t="inlineStr">
        <is>
          <t>Chỉ Tiêu / Cột Mốc</t>
        </is>
      </c>
      <c r="C31" s="5" t="inlineStr">
        <is>
          <t>Mục Tiêu / Thực Tế</t>
        </is>
      </c>
      <c r="D31" s="5" t="inlineStr">
        <is>
          <t>Chênh Lệch / Đơn Vị</t>
        </is>
      </c>
      <c r="E31" s="5" t="inlineStr">
        <is>
          <t>Ý Nghĩa Giai Đoạn &amp; Phân Tích</t>
        </is>
      </c>
    </row>
    <row r="32" ht="23" customHeight="1">
      <c r="B32" s="6" t="inlineStr">
        <is>
          <t>Baseline (19/10/2026)</t>
        </is>
      </c>
      <c r="C32" s="16" t="n">
        <v>50.3</v>
      </c>
      <c r="D32" s="24" t="inlineStr">
        <is>
          <t>Mốc xuất phát</t>
        </is>
      </c>
      <c r="E32" s="8" t="inlineStr">
        <is>
          <t>BMI 16.4 - Điểm khởi đầu của hành trình</t>
        </is>
      </c>
    </row>
    <row r="33" ht="23" customHeight="1">
      <c r="B33" s="6" t="inlineStr">
        <is>
          <t>Cột mốc 1 (Milestone 1)</t>
        </is>
      </c>
      <c r="C33" s="16" t="n">
        <v>55</v>
      </c>
      <c r="D33" s="24" t="inlineStr">
        <is>
          <t>+4.7 kg</t>
        </is>
      </c>
      <c r="E33" s="8" t="inlineStr">
        <is>
          <t>Thích nghi ăn thặng dư calo, tăng sức mạnh cơ bản</t>
        </is>
      </c>
    </row>
    <row r="34" ht="23" customHeight="1">
      <c r="B34" s="6" t="inlineStr">
        <is>
          <t>Cột mốc 2 (Milestone 2)</t>
        </is>
      </c>
      <c r="C34" s="16" t="n">
        <v>60</v>
      </c>
      <c r="D34" s="24" t="inlineStr">
        <is>
          <t>+9.7 kg</t>
        </is>
      </c>
      <c r="E34" s="8" t="inlineStr">
        <is>
          <t>Thoát khỏi ngưỡng BMI thiếu cân (BMI đạt ~19.6)</t>
        </is>
      </c>
    </row>
    <row r="35" ht="23" customHeight="1">
      <c r="B35" s="6" t="inlineStr">
        <is>
          <t>Cột mốc 3 (Milestone 3 - Mục tiêu dài hạn)</t>
        </is>
      </c>
      <c r="C35" s="16" t="n">
        <v>65</v>
      </c>
      <c r="D35" s="24" t="inlineStr">
        <is>
          <t>+14.7 kg</t>
        </is>
      </c>
      <c r="E35" s="8" t="inlineStr">
        <is>
          <t>Thể hình cân đối, cơ bắp săn chắc (BMI ~21.2)</t>
        </is>
      </c>
    </row>
    <row r="36" ht="23" customHeight="1">
      <c r="B36" s="6" t="inlineStr">
        <is>
          <t>Cân nặng mục tiêu trên InBody</t>
        </is>
      </c>
      <c r="C36" s="16" t="n">
        <v>67.40000000000001</v>
      </c>
      <c r="D36" s="24" t="inlineStr">
        <is>
          <t>+17.1 kg</t>
        </is>
      </c>
      <c r="E36" s="8" t="inlineStr">
        <is>
          <t>Mốc tham khảo tối đa từ thuật toán InBody</t>
        </is>
      </c>
    </row>
    <row r="37" ht="23" customHeight="1">
      <c r="B37" s="25" t="inlineStr">
        <is>
          <t>--- TIẾN ĐỘ THỜI GIAN THỰC ---</t>
        </is>
      </c>
      <c r="C37" s="26" t="inlineStr"/>
      <c r="D37" s="27" t="inlineStr"/>
      <c r="E37" s="28" t="inlineStr">
        <is>
          <t>CÔNG THỨC TỰ ĐỘNG TÍNH TOÁN</t>
        </is>
      </c>
    </row>
    <row r="38" ht="23" customHeight="1">
      <c r="B38" s="6" t="inlineStr">
        <is>
          <t>Cân nặng hiện tại (Mới nhất)</t>
        </is>
      </c>
      <c r="C38" s="17">
        <f>LOOKUP(9.99E+307, '10_BODY_WEIGHT_LOG'!$C$4:$C$171)</f>
        <v/>
      </c>
      <c r="D38" s="24" t="inlineStr">
        <is>
          <t>kg</t>
        </is>
      </c>
      <c r="E38" s="8" t="inlineStr">
        <is>
          <t>Tự động liên kết từ Sheet 10</t>
        </is>
      </c>
    </row>
    <row r="39" ht="23" customHeight="1">
      <c r="B39" s="6" t="inlineStr">
        <is>
          <t>Tổng số kg đã tăng so với baseline</t>
        </is>
      </c>
      <c r="C39" s="17">
        <f>MAX(0, C38-50.3)</f>
        <v/>
      </c>
      <c r="D39" s="24" t="inlineStr">
        <is>
          <t>kg</t>
        </is>
      </c>
      <c r="E39" s="8" t="inlineStr">
        <is>
          <t>Tiến triển thực tế</t>
        </is>
      </c>
    </row>
    <row r="40" ht="23" customHeight="1">
      <c r="B40" s="6" t="inlineStr">
        <is>
          <t>Khoảng cách còn lại đến Cột mốc 55 kg</t>
        </is>
      </c>
      <c r="C40" s="17">
        <f>MAX(0, 55-C38)</f>
        <v/>
      </c>
      <c r="D40" s="24" t="inlineStr">
        <is>
          <t>kg</t>
        </is>
      </c>
      <c r="E40" s="8" t="inlineStr">
        <is>
          <t>Khoảng cách mốc 1</t>
        </is>
      </c>
    </row>
    <row r="41" ht="23" customHeight="1">
      <c r="B41" s="6" t="inlineStr">
        <is>
          <t>Khoảng cách còn lại đến Cột mốc 60 kg</t>
        </is>
      </c>
      <c r="C41" s="17">
        <f>MAX(0, 60-C38)</f>
        <v/>
      </c>
      <c r="D41" s="24" t="inlineStr">
        <is>
          <t>kg</t>
        </is>
      </c>
      <c r="E41" s="8" t="inlineStr">
        <is>
          <t>Khoảng cách mốc 2</t>
        </is>
      </c>
    </row>
    <row r="42" ht="23" customHeight="1">
      <c r="B42" s="6" t="inlineStr">
        <is>
          <t>Khoảng cách còn lại đến Mục tiêu 65 kg</t>
        </is>
      </c>
      <c r="C42" s="17">
        <f>MAX(0, 65-C38)</f>
        <v/>
      </c>
      <c r="D42" s="24" t="inlineStr">
        <is>
          <t>kg</t>
        </is>
      </c>
      <c r="E42" s="8" t="inlineStr">
        <is>
          <t>Khoảng cách mục tiêu dài hạn</t>
        </is>
      </c>
    </row>
    <row r="43" ht="23" customHeight="1">
      <c r="B43" s="6" t="inlineStr">
        <is>
          <t>Tỷ lệ hoàn thành mục tiêu 65 kg</t>
        </is>
      </c>
      <c r="C43" s="30">
        <f>IF(C38&lt;=50.3, 0, (C38-50.3)/(65-50.3))</f>
        <v/>
      </c>
      <c r="D43" s="24" t="inlineStr">
        <is>
          <t>%</t>
        </is>
      </c>
      <c r="E43" s="8" t="inlineStr">
        <is>
          <t>Phần trăm chặng đường</t>
        </is>
      </c>
    </row>
    <row r="44" ht="23" customHeight="1">
      <c r="B44" s="6" t="inlineStr">
        <is>
          <t>Số ngày theo dõi đã trôi qua</t>
        </is>
      </c>
      <c r="C44" s="31">
        <f>MAX(1, TODAY()-DATE(2026,10,19))</f>
        <v/>
      </c>
      <c r="D44" s="24" t="inlineStr">
        <is>
          <t>ngày</t>
        </is>
      </c>
      <c r="E44" s="8" t="inlineStr">
        <is>
          <t>Thời gian đã nỗ lực</t>
        </is>
      </c>
    </row>
  </sheetData>
  <mergeCells count="4">
    <mergeCell ref="B30:E30"/>
    <mergeCell ref="B18:E18"/>
    <mergeCell ref="B2:E2"/>
    <mergeCell ref="B4:E4"/>
  </mergeCells>
  <dataValidations count="1">
    <dataValidation sqref="D19:D28" showDropDown="0" showInputMessage="0" showErrorMessage="0" allowBlank="1" type="list">
      <formula1>='14_SETTINGS_VALIDATION'!$K$4:$K$7</formula1>
    </dataValidation>
  </dataValidations>
  <pageMargins left="0.75" right="0.75" top="1" bottom="1" header="0.5" footer="0.5"/>
</worksheet>
</file>

<file path=xl/worksheets/sheet3.xml><?xml version="1.0" encoding="utf-8"?>
<worksheet xmlns="http://schemas.openxmlformats.org/spreadsheetml/2006/main">
  <sheetPr>
    <tabColor rgb="002563EB"/>
    <outlinePr summaryBelow="1" summaryRight="1"/>
    <pageSetUpPr/>
  </sheetPr>
  <dimension ref="B2:E26"/>
  <sheetViews>
    <sheetView showGridLines="1" workbookViewId="0">
      <selection activeCell="A1" sqref="A1"/>
    </sheetView>
  </sheetViews>
  <sheetFormatPr baseColWidth="8" defaultRowHeight="15"/>
  <cols>
    <col width="5" customWidth="1" min="1" max="1"/>
    <col width="34" customWidth="1" min="2" max="2"/>
    <col width="24" customWidth="1" min="3" max="3"/>
    <col width="22" customWidth="1" min="4" max="4"/>
    <col width="38" customWidth="1" min="5" max="5"/>
  </cols>
  <sheetData>
    <row r="2" ht="36" customHeight="1">
      <c r="B2" s="1" t="inlineStr">
        <is>
          <t>THIẾT LẬP MỤC TIÊU DINH DƯỠNG &amp; NĂNG LƯỢNG (NUTRITION SETUP)</t>
        </is>
      </c>
    </row>
    <row r="4" ht="26" customHeight="1">
      <c r="B4" s="4" t="inlineStr">
        <is>
          <t>1. CƠ SỞ CHUYỂN HÓA &amp; PHÂN TÍCH TỪ CHUYÊN GIA DINH DƯỠNG</t>
        </is>
      </c>
    </row>
    <row r="5">
      <c r="B5" s="5" t="inlineStr">
        <is>
          <t>Thông Số Chuyển Hóa</t>
        </is>
      </c>
      <c r="C5" s="5" t="inlineStr">
        <is>
          <t>Giá Trị</t>
        </is>
      </c>
      <c r="D5" s="5" t="inlineStr">
        <is>
          <t>Phân Loại</t>
        </is>
      </c>
      <c r="E5" s="5" t="inlineStr">
        <is>
          <t>Phân Tích Chuyên Môn</t>
        </is>
      </c>
    </row>
    <row r="6" ht="23" customHeight="1">
      <c r="B6" s="6" t="inlineStr">
        <is>
          <t>BMR từ máy InBody (19/10/2026)</t>
        </is>
      </c>
      <c r="C6" s="19" t="n">
        <v>1371</v>
      </c>
      <c r="D6" s="24" t="inlineStr">
        <is>
          <t>kcal/ngày</t>
        </is>
      </c>
      <c r="E6" s="8" t="inlineStr">
        <is>
          <t>Năng lượng cơ bản ở trạng thái nghỉ hoàn toàn</t>
        </is>
      </c>
    </row>
    <row r="7" ht="23" customHeight="1">
      <c r="B7" s="6" t="inlineStr">
        <is>
          <t>BMR theo công thức Katch-McArdle</t>
        </is>
      </c>
      <c r="C7" s="31">
        <f>370+(21.6*'11_INBODY_HISTORY'!K4)</f>
        <v/>
      </c>
      <c r="D7" s="24" t="inlineStr">
        <is>
          <t>kcal/ngày</t>
        </is>
      </c>
      <c r="E7" s="8" t="inlineStr">
        <is>
          <t>Tính từ FFM 46.4kg (Trùng khớp 1.372 kcal)</t>
        </is>
      </c>
    </row>
    <row r="8" ht="23" customHeight="1">
      <c r="B8" s="6" t="inlineStr">
        <is>
          <t>Calo InBody khuyến nghị trên phiếu</t>
        </is>
      </c>
      <c r="C8" s="19" t="n">
        <v>2648</v>
      </c>
      <c r="D8" s="24" t="inlineStr">
        <is>
          <t>MỐC THAM KHẢO</t>
        </is>
      </c>
      <c r="E8" s="8" t="inlineStr">
        <is>
          <t>Thuật toán máy ước tính (CHƯA PHẢI MỤC TIÊU NGAY)</t>
        </is>
      </c>
    </row>
    <row r="9" ht="23" customHeight="1">
      <c r="B9" s="6" t="inlineStr">
        <is>
          <t>Khuyến nghị của Chuyên gia Dinh dưỡng</t>
        </is>
      </c>
      <c r="C9" s="14" t="inlineStr">
        <is>
          <t>Bắt đầu với 2.100 kcal</t>
        </is>
      </c>
      <c r="D9" s="24" t="inlineStr">
        <is>
          <t>CHIẾN LƯỢC</t>
        </is>
      </c>
      <c r="E9" s="8" t="inlineStr">
        <is>
          <t>Không nhảy ngay lên 2.648 kcal để tránh quá tải dạ dày</t>
        </is>
      </c>
    </row>
    <row r="11" ht="26" customHeight="1">
      <c r="B11" s="4" t="inlineStr">
        <is>
          <t>2. BẢNG ƯỚC TÍNH TỔNG TIÊU HAO NĂNG LƯỢNG HẰNG NGÀY (TDEE TABLE)</t>
        </is>
      </c>
    </row>
    <row r="12">
      <c r="B12" s="5" t="inlineStr">
        <is>
          <t>Mức Độ Hoạt Động (PAL)</t>
        </is>
      </c>
      <c r="C12" s="5" t="inlineStr">
        <is>
          <t>TDEE Ước Tính</t>
        </is>
      </c>
      <c r="D12" s="5" t="inlineStr">
        <is>
          <t>Hệ Số Nhân (Multiplier)</t>
        </is>
      </c>
      <c r="E12" s="5" t="inlineStr">
        <is>
          <t>Ghi Chú Đánh Giá Thể Trạng</t>
        </is>
      </c>
    </row>
    <row r="13" ht="23" customHeight="1">
      <c r="B13" s="6" t="inlineStr">
        <is>
          <t>Ít vận động (Sedentary - Ngồi học nhiều)</t>
        </is>
      </c>
      <c r="C13" s="31">
        <f>C6*1.2</f>
        <v/>
      </c>
      <c r="D13" s="24" t="inlineStr">
        <is>
          <t>Hệ số PAL: 1.20</t>
        </is>
      </c>
      <c r="E13" s="8" t="inlineStr">
        <is>
          <t>Duy trì không tập: ~1.645 kcal</t>
        </is>
      </c>
    </row>
    <row r="14" ht="23" customHeight="1">
      <c r="B14" s="6" t="inlineStr">
        <is>
          <t>Vận động nhẹ (Light - Tập 1-3 buổi/tuần)</t>
        </is>
      </c>
      <c r="C14" s="31">
        <f>C6*1.375</f>
        <v/>
      </c>
      <c r="D14" s="24" t="inlineStr">
        <is>
          <t>Hệ số PAL: 1.375</t>
        </is>
      </c>
      <c r="E14" s="8" t="inlineStr">
        <is>
          <t>Duy trì tập nhẹ: ~1.885 kcal</t>
        </is>
      </c>
    </row>
    <row r="15" ht="23" customHeight="1">
      <c r="B15" s="6" t="inlineStr">
        <is>
          <t>Vận động vừa (Moderate - Tập 3-4 buổi/tuần)</t>
        </is>
      </c>
      <c r="C15" s="31">
        <f>C6*1.55</f>
        <v/>
      </c>
      <c r="D15" s="24" t="inlineStr">
        <is>
          <t>Hệ số PAL: 1.55</t>
        </is>
      </c>
      <c r="E15" s="8" t="inlineStr">
        <is>
          <t>Mức ước tính phù hợp: ~2.125 kcal</t>
        </is>
      </c>
    </row>
    <row r="16" ht="23" customHeight="1">
      <c r="B16" s="6" t="inlineStr">
        <is>
          <t>Vận động nặng (Very Active - Tập nặng 5+ buổi)</t>
        </is>
      </c>
      <c r="C16" s="31">
        <f>C6*1.725</f>
        <v/>
      </c>
      <c r="D16" s="24" t="inlineStr">
        <is>
          <t>Hệ số PAL: 1.725</t>
        </is>
      </c>
      <c r="E16" s="8" t="inlineStr">
        <is>
          <t>Mức tiêu hao cao: ~2.365 kcal</t>
        </is>
      </c>
    </row>
    <row r="18" ht="26" customHeight="1">
      <c r="B18" s="4" t="inlineStr">
        <is>
          <t>3. THIẾT LẬP MỤC TIÊU MACRONUTRIENTS CHÍNH THỨC (OFFICIAL TARGETS)</t>
        </is>
      </c>
    </row>
    <row r="19">
      <c r="B19" s="5" t="inlineStr">
        <is>
          <t>Chỉ Tiêu Dinh Dưỡng</t>
        </is>
      </c>
      <c r="C19" s="5" t="inlineStr">
        <is>
          <t>Giá Trị Mục Tiêu</t>
        </is>
      </c>
      <c r="D19" s="5" t="inlineStr">
        <is>
          <t>Trạng Thái Cấu Hình</t>
        </is>
      </c>
      <c r="E19" s="5" t="inlineStr">
        <is>
          <t>Cơ Sở Khoa Học &amp; Phân Bổ Năng Lượng</t>
        </is>
      </c>
    </row>
    <row r="20" ht="23" customHeight="1">
      <c r="B20" s="6" t="inlineStr">
        <is>
          <t>Mục tiêu Năng lượng hằng ngày (Daily Kcal Target)</t>
        </is>
      </c>
      <c r="C20" s="32" t="n">
        <v>2100</v>
      </c>
      <c r="D20" s="11" t="inlineStr">
        <is>
          <t>Đang thử nghiệm</t>
        </is>
      </c>
      <c r="E20" s="8" t="inlineStr">
        <is>
          <t>Thặng dư an toàn giai đoạn 1 (+250 kcal trên TDEE duy trì)</t>
        </is>
      </c>
    </row>
    <row r="21" ht="23" customHeight="1">
      <c r="B21" s="6" t="inlineStr">
        <is>
          <t>Mục tiêu Protein hằng ngày</t>
        </is>
      </c>
      <c r="C21" s="33" t="n">
        <v>100</v>
      </c>
      <c r="D21" s="11" t="inlineStr">
        <is>
          <t>Đang thử nghiệm</t>
        </is>
      </c>
      <c r="E21" s="8" t="inlineStr">
        <is>
          <t>~2.0 g/kg thể trọng (400 kcal = 19.0% tổng calo)</t>
        </is>
      </c>
    </row>
    <row r="22" ht="23" customHeight="1">
      <c r="B22" s="6" t="inlineStr">
        <is>
          <t>Mục tiêu Chất béo (Fat) hằng ngày</t>
        </is>
      </c>
      <c r="C22" s="33" t="n">
        <v>55</v>
      </c>
      <c r="D22" s="11" t="inlineStr">
        <is>
          <t>Đang thử nghiệm</t>
        </is>
      </c>
      <c r="E22" s="8" t="inlineStr">
        <is>
          <t>~1.1 g/kg thể trọng (495 kcal = 23.6% tổng calo)</t>
        </is>
      </c>
    </row>
    <row r="23" ht="23" customHeight="1">
      <c r="B23" s="6" t="inlineStr">
        <is>
          <t>Mục tiêu Carbohydrate (Carb) hằng ngày</t>
        </is>
      </c>
      <c r="C23" s="33" t="n">
        <v>300</v>
      </c>
      <c r="D23" s="11" t="inlineStr">
        <is>
          <t>Đang thử nghiệm</t>
        </is>
      </c>
      <c r="E23" s="8" t="inlineStr">
        <is>
          <t>Nguồn năng lượng chính (1.200 kcal = 57.1% tổng calo)</t>
        </is>
      </c>
    </row>
    <row r="24" ht="23" customHeight="1">
      <c r="B24" s="6" t="inlineStr">
        <is>
          <t>Tổng Calo tính lại từ Macros (Kiểm tra)</t>
        </is>
      </c>
      <c r="C24" s="31">
        <f>(C21*4)+(C22*9)+(C23*4)</f>
        <v/>
      </c>
      <c r="D24" s="9" t="inlineStr">
        <is>
          <t>TỰ ĐỘNG KHỚP</t>
        </is>
      </c>
      <c r="E24" s="8" t="inlineStr">
        <is>
          <t>Công thức: (Protein*4) + (Fat*9) + (Carb*4)</t>
        </is>
      </c>
    </row>
    <row r="25" ht="23" customHeight="1">
      <c r="B25" s="6" t="inlineStr">
        <is>
          <t>Mục tiêu Nước uống hằng ngày</t>
        </is>
      </c>
      <c r="C25" s="34" t="n">
        <v>2500</v>
      </c>
      <c r="D25" s="11" t="inlineStr">
        <is>
          <t>Đang thử nghiệm</t>
        </is>
      </c>
      <c r="E25" s="8" t="inlineStr">
        <is>
          <t>ml/ngày (Đảm bảo bù dịch khi tập và tiêu hóa carb)</t>
        </is>
      </c>
    </row>
    <row r="26" ht="23" customHeight="1">
      <c r="B26" s="6" t="inlineStr">
        <is>
          <t>Số bữa ăn mục tiêu mỗi ngày</t>
        </is>
      </c>
      <c r="C26" s="32" t="n">
        <v>4</v>
      </c>
      <c r="D26" s="11" t="inlineStr">
        <is>
          <t>Đang thử nghiệm</t>
        </is>
      </c>
      <c r="E26" s="8" t="inlineStr">
        <is>
          <t>bữa (3 bữa chính + 1 bữa phụ dinh dưỡng cao)</t>
        </is>
      </c>
    </row>
  </sheetData>
  <mergeCells count="4">
    <mergeCell ref="B4:E4"/>
    <mergeCell ref="B18:E18"/>
    <mergeCell ref="B2:E2"/>
    <mergeCell ref="B11:E11"/>
  </mergeCells>
  <dataValidations count="1">
    <dataValidation sqref="D19:D28" showDropDown="0" showInputMessage="0" showErrorMessage="0" allowBlank="1" type="list">
      <formula1>='14_SETTINGS_VALIDATION'!$K$4:$K$7</formula1>
    </dataValidation>
  </dataValidations>
  <pageMargins left="0.75" right="0.75" top="1" bottom="1" header="0.5" footer="0.5"/>
</worksheet>
</file>

<file path=xl/worksheets/sheet4.xml><?xml version="1.0" encoding="utf-8"?>
<worksheet xmlns="http://schemas.openxmlformats.org/spreadsheetml/2006/main">
  <sheetPr>
    <tabColor rgb="000D9488"/>
    <outlinePr summaryBelow="1" summaryRight="1"/>
    <pageSetUpPr/>
  </sheetPr>
  <dimension ref="A1:N46"/>
  <sheetViews>
    <sheetView showGridLines="1"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2" customWidth="1" min="2" max="2"/>
    <col width="18" customWidth="1" min="3" max="3"/>
    <col width="16" customWidth="1" min="4" max="4"/>
    <col width="10" customWidth="1" min="5" max="5"/>
    <col width="12" customWidth="1" min="6" max="6"/>
    <col width="14" customWidth="1" min="7" max="7"/>
    <col width="14" customWidth="1" min="8" max="8"/>
    <col width="14" customWidth="1" min="9" max="9"/>
    <col width="14" customWidth="1" min="10" max="10"/>
    <col width="14" customWidth="1" min="11" max="11"/>
    <col width="16" customWidth="1" min="12" max="12"/>
    <col width="22" customWidth="1" min="13" max="13"/>
    <col width="28" customWidth="1" min="14" max="14"/>
  </cols>
  <sheetData>
    <row r="1" ht="36" customHeight="1">
      <c r="A1" s="1" t="inlineStr">
        <is>
          <t>CƠ SỞ DỮ LIỆU THỰC PHẨM VIỆT NAM CHO SINH VIÊN (FOOD DATABASE)</t>
        </is>
      </c>
    </row>
    <row r="2" ht="22" customHeight="1">
      <c r="A2" s="35" t="inlineStr">
        <is>
          <t>LƯU Ý QUAN TRỌNG: Phân định rạch ròi Thực phẩm SỐNG (Raw) và NẤU CHÍN (Cooked). 100g gạo khô nở ra ~230g cơm trắng; 100g thịt sống ngót lại ~75-80g khi chín!</t>
        </is>
      </c>
    </row>
    <row r="4" ht="26" customHeight="1">
      <c r="A4" s="36" t="inlineStr">
        <is>
          <t>Food ID</t>
        </is>
      </c>
      <c r="B4" s="36" t="inlineStr">
        <is>
          <t>Tên Thực Phẩm</t>
        </is>
      </c>
      <c r="C4" s="36" t="inlineStr">
        <is>
          <t>Nhóm Thực Phẩm</t>
        </is>
      </c>
      <c r="D4" s="36" t="inlineStr">
        <is>
          <t>Trạng Thái</t>
        </is>
      </c>
      <c r="E4" s="36" t="inlineStr">
        <is>
          <t>Đơn Vị</t>
        </is>
      </c>
      <c r="F4" s="36" t="inlineStr">
        <is>
          <t>Khẩu Phần</t>
        </is>
      </c>
      <c r="G4" s="36" t="inlineStr">
        <is>
          <t>Kcal / 100g</t>
        </is>
      </c>
      <c r="H4" s="36" t="inlineStr">
        <is>
          <t>Protein (g)</t>
        </is>
      </c>
      <c r="I4" s="36" t="inlineStr">
        <is>
          <t>Carb (g)</t>
        </is>
      </c>
      <c r="J4" s="36" t="inlineStr">
        <is>
          <t>Fat (g)</t>
        </is>
      </c>
      <c r="K4" s="36" t="inlineStr">
        <is>
          <t>Fiber (g)</t>
        </is>
      </c>
      <c r="L4" s="36" t="inlineStr">
        <is>
          <t>Giá Tham Khảo</t>
        </is>
      </c>
      <c r="M4" s="36" t="inlineStr">
        <is>
          <t>Nguồn Dữ Liệu</t>
        </is>
      </c>
      <c r="N4" s="36" t="inlineStr">
        <is>
          <t>Ghi Chú Chuyên Môn</t>
        </is>
      </c>
    </row>
    <row r="5" ht="22" customHeight="1">
      <c r="A5" s="24" t="inlineStr">
        <is>
          <t>FD001</t>
        </is>
      </c>
      <c r="B5" s="37" t="inlineStr">
        <is>
          <t>Cơm trắng (nấu chín)</t>
        </is>
      </c>
      <c r="C5" s="24" t="inlineStr">
        <is>
          <t>Tinh bột</t>
        </is>
      </c>
      <c r="D5" s="24" t="inlineStr">
        <is>
          <t>Nấu chín</t>
        </is>
      </c>
      <c r="E5" s="24" t="inlineStr">
        <is>
          <t>g</t>
        </is>
      </c>
      <c r="F5" s="38" t="n">
        <v>150</v>
      </c>
      <c r="G5" s="39" t="n">
        <v>130</v>
      </c>
      <c r="H5" s="39" t="n">
        <v>2.7</v>
      </c>
      <c r="I5" s="39" t="n">
        <v>28.2</v>
      </c>
      <c r="J5" s="39" t="n">
        <v>0.3</v>
      </c>
      <c r="K5" s="39" t="n">
        <v>0.4</v>
      </c>
      <c r="L5" s="40" t="n">
        <v>2500</v>
      </c>
      <c r="M5" s="38" t="inlineStr">
        <is>
          <t>Viện Dinh Dưỡng QG</t>
        </is>
      </c>
      <c r="N5" s="38" t="inlineStr">
        <is>
          <t>100g gạo khô nở ra ~230g cơm trắng</t>
        </is>
      </c>
    </row>
    <row r="6" ht="22" customHeight="1">
      <c r="A6" s="41" t="inlineStr">
        <is>
          <t>FD002</t>
        </is>
      </c>
      <c r="B6" s="42" t="inlineStr">
        <is>
          <t>Gạo tẻ trắng (hạt khô)</t>
        </is>
      </c>
      <c r="C6" s="41" t="inlineStr">
        <is>
          <t>Tinh bột</t>
        </is>
      </c>
      <c r="D6" s="41" t="inlineStr">
        <is>
          <t>Khô</t>
        </is>
      </c>
      <c r="E6" s="41" t="inlineStr">
        <is>
          <t>g</t>
        </is>
      </c>
      <c r="F6" s="43" t="n">
        <v>100</v>
      </c>
      <c r="G6" s="44" t="n">
        <v>344</v>
      </c>
      <c r="H6" s="44" t="n">
        <v>7.6</v>
      </c>
      <c r="I6" s="44" t="n">
        <v>76.2</v>
      </c>
      <c r="J6" s="44" t="n">
        <v>0.7</v>
      </c>
      <c r="K6" s="44" t="n">
        <v>1.3</v>
      </c>
      <c r="L6" s="45" t="n">
        <v>2000</v>
      </c>
      <c r="M6" s="43" t="inlineStr">
        <is>
          <t>Viện Dinh Dưỡng QG</t>
        </is>
      </c>
      <c r="N6" s="43" t="inlineStr">
        <is>
          <t>Dùng khi cân gạo trước khi cắm cơm</t>
        </is>
      </c>
    </row>
    <row r="7" ht="22" customHeight="1">
      <c r="A7" s="24" t="inlineStr">
        <is>
          <t>FD003</t>
        </is>
      </c>
      <c r="B7" s="37" t="inlineStr">
        <is>
          <t>Yến mạch cán dẹt (Rolled Oats)</t>
        </is>
      </c>
      <c r="C7" s="24" t="inlineStr">
        <is>
          <t>Tinh bột</t>
        </is>
      </c>
      <c r="D7" s="24" t="inlineStr">
        <is>
          <t>Khô</t>
        </is>
      </c>
      <c r="E7" s="24" t="inlineStr">
        <is>
          <t>g</t>
        </is>
      </c>
      <c r="F7" s="38" t="n">
        <v>50</v>
      </c>
      <c r="G7" s="39" t="n">
        <v>389</v>
      </c>
      <c r="H7" s="39" t="n">
        <v>16.9</v>
      </c>
      <c r="I7" s="39" t="n">
        <v>66.3</v>
      </c>
      <c r="J7" s="39" t="n">
        <v>6.9</v>
      </c>
      <c r="K7" s="39" t="n">
        <v>10.6</v>
      </c>
      <c r="L7" s="40" t="n">
        <v>7000</v>
      </c>
      <c r="M7" s="38" t="inlineStr">
        <is>
          <t>USDA Nutrient Database</t>
        </is>
      </c>
      <c r="N7" s="38" t="inlineStr">
        <is>
          <t>Tuyệt vời để xay sinh tố tăng cân</t>
        </is>
      </c>
    </row>
    <row r="8" ht="22" customHeight="1">
      <c r="A8" s="41" t="inlineStr">
        <is>
          <t>FD004</t>
        </is>
      </c>
      <c r="B8" s="42" t="inlineStr">
        <is>
          <t>Khoai lang luộc</t>
        </is>
      </c>
      <c r="C8" s="41" t="inlineStr">
        <is>
          <t>Tinh bột</t>
        </is>
      </c>
      <c r="D8" s="41" t="inlineStr">
        <is>
          <t>Nấu chín</t>
        </is>
      </c>
      <c r="E8" s="41" t="inlineStr">
        <is>
          <t>g</t>
        </is>
      </c>
      <c r="F8" s="43" t="n">
        <v>150</v>
      </c>
      <c r="G8" s="44" t="n">
        <v>86</v>
      </c>
      <c r="H8" s="44" t="n">
        <v>1.6</v>
      </c>
      <c r="I8" s="44" t="n">
        <v>20.1</v>
      </c>
      <c r="J8" s="44" t="n">
        <v>0.1</v>
      </c>
      <c r="K8" s="44" t="n">
        <v>3</v>
      </c>
      <c r="L8" s="45" t="n">
        <v>3000</v>
      </c>
      <c r="M8" s="43" t="inlineStr">
        <is>
          <t>Viện Dinh Dưỡng QG</t>
        </is>
      </c>
      <c r="N8" s="43" t="inlineStr">
        <is>
          <t>Carb hấp thu chậm, nhiều khoáng chất</t>
        </is>
      </c>
    </row>
    <row r="9" ht="22" customHeight="1">
      <c r="A9" s="24" t="inlineStr">
        <is>
          <t>FD005</t>
        </is>
      </c>
      <c r="B9" s="37" t="inlineStr">
        <is>
          <t>Bánh mì sandwich trắng</t>
        </is>
      </c>
      <c r="C9" s="24" t="inlineStr">
        <is>
          <t>Tinh bột</t>
        </is>
      </c>
      <c r="D9" s="24" t="inlineStr">
        <is>
          <t>Đóng gói / Chế biến</t>
        </is>
      </c>
      <c r="E9" s="24" t="inlineStr">
        <is>
          <t>g</t>
        </is>
      </c>
      <c r="F9" s="38" t="n">
        <v>60</v>
      </c>
      <c r="G9" s="39" t="n">
        <v>265</v>
      </c>
      <c r="H9" s="39" t="n">
        <v>8.9</v>
      </c>
      <c r="I9" s="39" t="n">
        <v>49.1</v>
      </c>
      <c r="J9" s="39" t="n">
        <v>3.2</v>
      </c>
      <c r="K9" s="39" t="n">
        <v>2.7</v>
      </c>
      <c r="L9" s="40" t="n">
        <v>4000</v>
      </c>
      <c r="M9" s="38" t="inlineStr">
        <is>
          <t>Bao bì Kinh Đô / Staff</t>
        </is>
      </c>
      <c r="N9" s="38" t="inlineStr">
        <is>
          <t>1 lát chuẩn ~25-30g</t>
        </is>
      </c>
    </row>
    <row r="10" ht="22" customHeight="1">
      <c r="A10" s="41" t="inlineStr">
        <is>
          <t>FD006</t>
        </is>
      </c>
      <c r="B10" s="42" t="inlineStr">
        <is>
          <t>Bánh mì ổ Việt Nam</t>
        </is>
      </c>
      <c r="C10" s="41" t="inlineStr">
        <is>
          <t>Tinh bột</t>
        </is>
      </c>
      <c r="D10" s="41" t="inlineStr">
        <is>
          <t>Đóng gói / Chế biến</t>
        </is>
      </c>
      <c r="E10" s="41" t="inlineStr">
        <is>
          <t>ổ</t>
        </is>
      </c>
      <c r="F10" s="43" t="n">
        <v>80</v>
      </c>
      <c r="G10" s="44" t="n">
        <v>250</v>
      </c>
      <c r="H10" s="44" t="n">
        <v>8</v>
      </c>
      <c r="I10" s="44" t="n">
        <v>52</v>
      </c>
      <c r="J10" s="44" t="n">
        <v>1.5</v>
      </c>
      <c r="K10" s="44" t="n">
        <v>2</v>
      </c>
      <c r="L10" s="45" t="n">
        <v>5000</v>
      </c>
      <c r="M10" s="43" t="inlineStr">
        <is>
          <t>Ước tính tiêu chuẩn</t>
        </is>
      </c>
      <c r="N10" s="43" t="inlineStr">
        <is>
          <t>1 ổ bánh mì không ruột vừa ~80g</t>
        </is>
      </c>
    </row>
    <row r="11" ht="22" customHeight="1">
      <c r="A11" s="24" t="inlineStr">
        <is>
          <t>FD007</t>
        </is>
      </c>
      <c r="B11" s="37" t="inlineStr">
        <is>
          <t>Chuối tiêu chín</t>
        </is>
      </c>
      <c r="C11" s="24" t="inlineStr">
        <is>
          <t>Tinh bột</t>
        </is>
      </c>
      <c r="D11" s="24" t="inlineStr">
        <is>
          <t>Sống / Tươi</t>
        </is>
      </c>
      <c r="E11" s="24" t="inlineStr">
        <is>
          <t>g</t>
        </is>
      </c>
      <c r="F11" s="38" t="n">
        <v>100</v>
      </c>
      <c r="G11" s="39" t="n">
        <v>89</v>
      </c>
      <c r="H11" s="39" t="n">
        <v>1.1</v>
      </c>
      <c r="I11" s="39" t="n">
        <v>22.8</v>
      </c>
      <c r="J11" s="39" t="n">
        <v>0.3</v>
      </c>
      <c r="K11" s="39" t="n">
        <v>2.6</v>
      </c>
      <c r="L11" s="40" t="n">
        <v>2000</v>
      </c>
      <c r="M11" s="38" t="inlineStr">
        <is>
          <t>Viện Dinh Dưỡng QG</t>
        </is>
      </c>
      <c r="N11" s="38" t="inlineStr">
        <is>
          <t>1 quả chuối vừa bỏ vỏ ~90-100g</t>
        </is>
      </c>
    </row>
    <row r="12" ht="22" customHeight="1">
      <c r="A12" s="41" t="inlineStr">
        <is>
          <t>FD008</t>
        </is>
      </c>
      <c r="B12" s="42" t="inlineStr">
        <is>
          <t>Phở tươi / Bánh phở</t>
        </is>
      </c>
      <c r="C12" s="41" t="inlineStr">
        <is>
          <t>Tinh bột</t>
        </is>
      </c>
      <c r="D12" s="41" t="inlineStr">
        <is>
          <t>Nấu chín</t>
        </is>
      </c>
      <c r="E12" s="41" t="inlineStr">
        <is>
          <t>g</t>
        </is>
      </c>
      <c r="F12" s="43" t="n">
        <v>150</v>
      </c>
      <c r="G12" s="44" t="n">
        <v>120</v>
      </c>
      <c r="H12" s="44" t="n">
        <v>2</v>
      </c>
      <c r="I12" s="44" t="n">
        <v>28</v>
      </c>
      <c r="J12" s="44" t="n">
        <v>0.2</v>
      </c>
      <c r="K12" s="44" t="n">
        <v>0.5</v>
      </c>
      <c r="L12" s="45" t="n">
        <v>3000</v>
      </c>
      <c r="M12" s="43" t="inlineStr">
        <is>
          <t>Viện Dinh Dưỡng QG</t>
        </is>
      </c>
      <c r="N12" s="43" t="inlineStr">
        <is>
          <t>Bánh phở trần nước sôi</t>
        </is>
      </c>
    </row>
    <row r="13" ht="22" customHeight="1">
      <c r="A13" s="24" t="inlineStr">
        <is>
          <t>FD009</t>
        </is>
      </c>
      <c r="B13" s="37" t="inlineStr">
        <is>
          <t>Bún tươi</t>
        </is>
      </c>
      <c r="C13" s="24" t="inlineStr">
        <is>
          <t>Tinh bột</t>
        </is>
      </c>
      <c r="D13" s="24" t="inlineStr">
        <is>
          <t>Nấu chín</t>
        </is>
      </c>
      <c r="E13" s="24" t="inlineStr">
        <is>
          <t>g</t>
        </is>
      </c>
      <c r="F13" s="38" t="n">
        <v>150</v>
      </c>
      <c r="G13" s="39" t="n">
        <v>110</v>
      </c>
      <c r="H13" s="39" t="n">
        <v>1.7</v>
      </c>
      <c r="I13" s="39" t="n">
        <v>25.7</v>
      </c>
      <c r="J13" s="39" t="n">
        <v>0</v>
      </c>
      <c r="K13" s="39" t="n">
        <v>0.5</v>
      </c>
      <c r="L13" s="40" t="n">
        <v>2500</v>
      </c>
      <c r="M13" s="38" t="inlineStr">
        <is>
          <t>Viện Dinh Dưỡng QG</t>
        </is>
      </c>
      <c r="N13" s="38" t="inlineStr">
        <is>
          <t>Hàm lượng nước cao, dễ nuốt</t>
        </is>
      </c>
    </row>
    <row r="14" ht="22" customHeight="1">
      <c r="A14" s="41" t="inlineStr">
        <is>
          <t>FD010</t>
        </is>
      </c>
      <c r="B14" s="42" t="inlineStr">
        <is>
          <t>Ngô ngọt (Bắp Mỹ luộc)</t>
        </is>
      </c>
      <c r="C14" s="41" t="inlineStr">
        <is>
          <t>Tinh bột</t>
        </is>
      </c>
      <c r="D14" s="41" t="inlineStr">
        <is>
          <t>Nấu chín</t>
        </is>
      </c>
      <c r="E14" s="41" t="inlineStr">
        <is>
          <t>g</t>
        </is>
      </c>
      <c r="F14" s="43" t="n">
        <v>100</v>
      </c>
      <c r="G14" s="44" t="n">
        <v>96</v>
      </c>
      <c r="H14" s="44" t="n">
        <v>3.4</v>
      </c>
      <c r="I14" s="44" t="n">
        <v>21</v>
      </c>
      <c r="J14" s="44" t="n">
        <v>1.5</v>
      </c>
      <c r="K14" s="44" t="n">
        <v>2.4</v>
      </c>
      <c r="L14" s="45" t="n">
        <v>4000</v>
      </c>
      <c r="M14" s="43" t="inlineStr">
        <is>
          <t>USDA Nutrient Database</t>
        </is>
      </c>
      <c r="N14" s="43" t="inlineStr">
        <is>
          <t>Vị ngọt tự nhiên, dễ ăn bữa phụ</t>
        </is>
      </c>
    </row>
    <row r="15" ht="22" customHeight="1">
      <c r="A15" s="24" t="inlineStr">
        <is>
          <t>FD011</t>
        </is>
      </c>
      <c r="B15" s="37" t="inlineStr">
        <is>
          <t>Ức gà sống (bỏ da)</t>
        </is>
      </c>
      <c r="C15" s="24" t="inlineStr">
        <is>
          <t>Nguồn đạm</t>
        </is>
      </c>
      <c r="D15" s="24" t="inlineStr">
        <is>
          <t>Sống / Tươi</t>
        </is>
      </c>
      <c r="E15" s="24" t="inlineStr">
        <is>
          <t>g</t>
        </is>
      </c>
      <c r="F15" s="38" t="n">
        <v>150</v>
      </c>
      <c r="G15" s="39" t="n">
        <v>120</v>
      </c>
      <c r="H15" s="39" t="n">
        <v>22.5</v>
      </c>
      <c r="I15" s="39" t="n">
        <v>0</v>
      </c>
      <c r="J15" s="39" t="n">
        <v>2.6</v>
      </c>
      <c r="K15" s="39" t="n">
        <v>0</v>
      </c>
      <c r="L15" s="40" t="n">
        <v>8000</v>
      </c>
      <c r="M15" s="38" t="inlineStr">
        <is>
          <t>Viện Dinh Dưỡng QG</t>
        </is>
      </c>
      <c r="N15" s="38" t="inlineStr">
        <is>
          <t>Cân khi sống, đạm tinh khiết giá rẻ</t>
        </is>
      </c>
    </row>
    <row r="16" ht="22" customHeight="1">
      <c r="A16" s="41" t="inlineStr">
        <is>
          <t>FD012</t>
        </is>
      </c>
      <c r="B16" s="42" t="inlineStr">
        <is>
          <t>Ức gà áp chảo / Luộc</t>
        </is>
      </c>
      <c r="C16" s="41" t="inlineStr">
        <is>
          <t>Nguồn đạm</t>
        </is>
      </c>
      <c r="D16" s="41" t="inlineStr">
        <is>
          <t>Nấu chín</t>
        </is>
      </c>
      <c r="E16" s="41" t="inlineStr">
        <is>
          <t>g</t>
        </is>
      </c>
      <c r="F16" s="43" t="n">
        <v>100</v>
      </c>
      <c r="G16" s="44" t="n">
        <v>165</v>
      </c>
      <c r="H16" s="44" t="n">
        <v>31</v>
      </c>
      <c r="I16" s="44" t="n">
        <v>0</v>
      </c>
      <c r="J16" s="44" t="n">
        <v>3.6</v>
      </c>
      <c r="K16" s="44" t="n">
        <v>0</v>
      </c>
      <c r="L16" s="45" t="n">
        <v>10500</v>
      </c>
      <c r="M16" s="43" t="inlineStr">
        <is>
          <t>USDA / Phép đo ngót</t>
        </is>
      </c>
      <c r="N16" s="43" t="inlineStr">
        <is>
          <t>Ngót nước ~25%, đạm đậm đặc hơn</t>
        </is>
      </c>
    </row>
    <row r="17" ht="22" customHeight="1">
      <c r="A17" s="24" t="inlineStr">
        <is>
          <t>FD013</t>
        </is>
      </c>
      <c r="B17" s="37" t="inlineStr">
        <is>
          <t>Trứng gà công nghiệp (1 quả ~50g)</t>
        </is>
      </c>
      <c r="C17" s="24" t="inlineStr">
        <is>
          <t>Nguồn đạm</t>
        </is>
      </c>
      <c r="D17" s="24" t="inlineStr">
        <is>
          <t>Sống / Tươi</t>
        </is>
      </c>
      <c r="E17" s="24" t="inlineStr">
        <is>
          <t>quả</t>
        </is>
      </c>
      <c r="F17" s="38" t="n">
        <v>50</v>
      </c>
      <c r="G17" s="39" t="n">
        <v>143</v>
      </c>
      <c r="H17" s="39" t="n">
        <v>12.6</v>
      </c>
      <c r="I17" s="39" t="n">
        <v>0.8</v>
      </c>
      <c r="J17" s="39" t="n">
        <v>9.5</v>
      </c>
      <c r="K17" s="39" t="n">
        <v>0</v>
      </c>
      <c r="L17" s="40" t="n">
        <v>3000</v>
      </c>
      <c r="M17" s="38" t="inlineStr">
        <is>
          <t>Viện Dinh Dưỡng QG</t>
        </is>
      </c>
      <c r="N17" s="38" t="inlineStr">
        <is>
          <t>1 quả ~72 kcal, 6.3g đạm, giàu choline</t>
        </is>
      </c>
    </row>
    <row r="18" ht="22" customHeight="1">
      <c r="A18" s="41" t="inlineStr">
        <is>
          <t>FD014</t>
        </is>
      </c>
      <c r="B18" s="42" t="inlineStr">
        <is>
          <t>Lòng trắng trứng gà</t>
        </is>
      </c>
      <c r="C18" s="41" t="inlineStr">
        <is>
          <t>Nguồn đạm</t>
        </is>
      </c>
      <c r="D18" s="41" t="inlineStr">
        <is>
          <t>Sống / Tươi</t>
        </is>
      </c>
      <c r="E18" s="41" t="inlineStr">
        <is>
          <t>g</t>
        </is>
      </c>
      <c r="F18" s="43" t="n">
        <v>100</v>
      </c>
      <c r="G18" s="44" t="n">
        <v>52</v>
      </c>
      <c r="H18" s="44" t="n">
        <v>11</v>
      </c>
      <c r="I18" s="44" t="n">
        <v>0.7</v>
      </c>
      <c r="J18" s="44" t="n">
        <v>0.2</v>
      </c>
      <c r="K18" s="44" t="n">
        <v>0</v>
      </c>
      <c r="L18" s="45" t="n">
        <v>4000</v>
      </c>
      <c r="M18" s="43" t="inlineStr">
        <is>
          <t>USDA Nutrient Database</t>
        </is>
      </c>
      <c r="N18" s="43" t="inlineStr">
        <is>
          <t>Đạm nguyên chất, không mỡ</t>
        </is>
      </c>
    </row>
    <row r="19" ht="22" customHeight="1">
      <c r="A19" s="24" t="inlineStr">
        <is>
          <t>FD015</t>
        </is>
      </c>
      <c r="B19" s="37" t="inlineStr">
        <is>
          <t>Thịt heo nạc thăn (sống)</t>
        </is>
      </c>
      <c r="C19" s="24" t="inlineStr">
        <is>
          <t>Nguồn đạm</t>
        </is>
      </c>
      <c r="D19" s="24" t="inlineStr">
        <is>
          <t>Sống / Tươi</t>
        </is>
      </c>
      <c r="E19" s="24" t="inlineStr">
        <is>
          <t>g</t>
        </is>
      </c>
      <c r="F19" s="38" t="n">
        <v>100</v>
      </c>
      <c r="G19" s="39" t="n">
        <v>145</v>
      </c>
      <c r="H19" s="39" t="n">
        <v>21</v>
      </c>
      <c r="I19" s="39" t="n">
        <v>0</v>
      </c>
      <c r="J19" s="39" t="n">
        <v>6</v>
      </c>
      <c r="K19" s="39" t="n">
        <v>0</v>
      </c>
      <c r="L19" s="40" t="n">
        <v>12000</v>
      </c>
      <c r="M19" s="38" t="inlineStr">
        <is>
          <t>Viện Dinh Dưỡng QG</t>
        </is>
      </c>
      <c r="N19" s="38" t="inlineStr">
        <is>
          <t>Giá sinh viên, dễ chế biến</t>
        </is>
      </c>
    </row>
    <row r="20" ht="22" customHeight="1">
      <c r="A20" s="41" t="inlineStr">
        <is>
          <t>FD016</t>
        </is>
      </c>
      <c r="B20" s="42" t="inlineStr">
        <is>
          <t>Thịt heo nạc luộc</t>
        </is>
      </c>
      <c r="C20" s="41" t="inlineStr">
        <is>
          <t>Nguồn đạm</t>
        </is>
      </c>
      <c r="D20" s="41" t="inlineStr">
        <is>
          <t>Nấu chín</t>
        </is>
      </c>
      <c r="E20" s="41" t="inlineStr">
        <is>
          <t>g</t>
        </is>
      </c>
      <c r="F20" s="43" t="n">
        <v>100</v>
      </c>
      <c r="G20" s="44" t="n">
        <v>195</v>
      </c>
      <c r="H20" s="44" t="n">
        <v>28</v>
      </c>
      <c r="I20" s="44" t="n">
        <v>0</v>
      </c>
      <c r="J20" s="44" t="n">
        <v>8.5</v>
      </c>
      <c r="K20" s="44" t="n">
        <v>0</v>
      </c>
      <c r="L20" s="45" t="n">
        <v>15000</v>
      </c>
      <c r="M20" s="43" t="inlineStr">
        <is>
          <t>Ước tính tiêu chuẩn</t>
        </is>
      </c>
      <c r="N20" s="43" t="inlineStr">
        <is>
          <t>Cân sau khi đã luộc chín</t>
        </is>
      </c>
    </row>
    <row r="21" ht="22" customHeight="1">
      <c r="A21" s="24" t="inlineStr">
        <is>
          <t>FD017</t>
        </is>
      </c>
      <c r="B21" s="37" t="inlineStr">
        <is>
          <t>Thịt bò nạc thăn/bắp (sống)</t>
        </is>
      </c>
      <c r="C21" s="24" t="inlineStr">
        <is>
          <t>Nguồn đạm</t>
        </is>
      </c>
      <c r="D21" s="24" t="inlineStr">
        <is>
          <t>Sống / Tươi</t>
        </is>
      </c>
      <c r="E21" s="24" t="inlineStr">
        <is>
          <t>g</t>
        </is>
      </c>
      <c r="F21" s="38" t="n">
        <v>100</v>
      </c>
      <c r="G21" s="39" t="n">
        <v>133</v>
      </c>
      <c r="H21" s="39" t="n">
        <v>21</v>
      </c>
      <c r="I21" s="39" t="n">
        <v>0</v>
      </c>
      <c r="J21" s="39" t="n">
        <v>5</v>
      </c>
      <c r="K21" s="39" t="n">
        <v>0</v>
      </c>
      <c r="L21" s="40" t="n">
        <v>26000</v>
      </c>
      <c r="M21" s="38" t="inlineStr">
        <is>
          <t>Viện Dinh Dưỡng QG</t>
        </is>
      </c>
      <c r="N21" s="38" t="inlineStr">
        <is>
          <t>Giàu sắt, kẽm, creatine tự nhiên</t>
        </is>
      </c>
    </row>
    <row r="22" ht="22" customHeight="1">
      <c r="A22" s="41" t="inlineStr">
        <is>
          <t>FD018</t>
        </is>
      </c>
      <c r="B22" s="42" t="inlineStr">
        <is>
          <t>Thịt bò xào</t>
        </is>
      </c>
      <c r="C22" s="41" t="inlineStr">
        <is>
          <t>Nguồn đạm</t>
        </is>
      </c>
      <c r="D22" s="41" t="inlineStr">
        <is>
          <t>Nấu chín</t>
        </is>
      </c>
      <c r="E22" s="41" t="inlineStr">
        <is>
          <t>g</t>
        </is>
      </c>
      <c r="F22" s="43" t="n">
        <v>100</v>
      </c>
      <c r="G22" s="44" t="n">
        <v>185</v>
      </c>
      <c r="H22" s="44" t="n">
        <v>26</v>
      </c>
      <c r="I22" s="44" t="n">
        <v>0</v>
      </c>
      <c r="J22" s="44" t="n">
        <v>8</v>
      </c>
      <c r="K22" s="44" t="n">
        <v>0</v>
      </c>
      <c r="L22" s="45" t="n">
        <v>30000</v>
      </c>
      <c r="M22" s="43" t="inlineStr">
        <is>
          <t>Ước tính có dầu xào</t>
        </is>
      </c>
      <c r="N22" s="43" t="inlineStr">
        <is>
          <t>Đã tính thêm lượng dầu mỡ khi xào</t>
        </is>
      </c>
    </row>
    <row r="23" ht="22" customHeight="1">
      <c r="A23" s="24" t="inlineStr">
        <is>
          <t>FD019</t>
        </is>
      </c>
      <c r="B23" s="37" t="inlineStr">
        <is>
          <t>Cá basa phi lê (sống)</t>
        </is>
      </c>
      <c r="C23" s="24" t="inlineStr">
        <is>
          <t>Nguồn đạm</t>
        </is>
      </c>
      <c r="D23" s="24" t="inlineStr">
        <is>
          <t>Sống / Tươi</t>
        </is>
      </c>
      <c r="E23" s="24" t="inlineStr">
        <is>
          <t>g</t>
        </is>
      </c>
      <c r="F23" s="38" t="n">
        <v>150</v>
      </c>
      <c r="G23" s="39" t="n">
        <v>125</v>
      </c>
      <c r="H23" s="39" t="n">
        <v>15</v>
      </c>
      <c r="I23" s="39" t="n">
        <v>0</v>
      </c>
      <c r="J23" s="39" t="n">
        <v>7</v>
      </c>
      <c r="K23" s="39" t="n">
        <v>0</v>
      </c>
      <c r="L23" s="40" t="n">
        <v>7000</v>
      </c>
      <c r="M23" s="38" t="inlineStr">
        <is>
          <t>Viện Dinh Dưỡng QG</t>
        </is>
      </c>
      <c r="N23" s="38" t="inlineStr">
        <is>
          <t>Rất mềm, dễ nuốt, giàu Omega-3</t>
        </is>
      </c>
    </row>
    <row r="24" ht="22" customHeight="1">
      <c r="A24" s="41" t="inlineStr">
        <is>
          <t>FD020</t>
        </is>
      </c>
      <c r="B24" s="42" t="inlineStr">
        <is>
          <t>Cá rô phi phi lê (sống)</t>
        </is>
      </c>
      <c r="C24" s="41" t="inlineStr">
        <is>
          <t>Nguồn đạm</t>
        </is>
      </c>
      <c r="D24" s="41" t="inlineStr">
        <is>
          <t>Sống / Tươi</t>
        </is>
      </c>
      <c r="E24" s="41" t="inlineStr">
        <is>
          <t>g</t>
        </is>
      </c>
      <c r="F24" s="43" t="n">
        <v>150</v>
      </c>
      <c r="G24" s="44" t="n">
        <v>96</v>
      </c>
      <c r="H24" s="44" t="n">
        <v>20</v>
      </c>
      <c r="I24" s="44" t="n">
        <v>0</v>
      </c>
      <c r="J24" s="44" t="n">
        <v>1.7</v>
      </c>
      <c r="K24" s="44" t="n">
        <v>0</v>
      </c>
      <c r="L24" s="45" t="n">
        <v>8000</v>
      </c>
      <c r="M24" s="43" t="inlineStr">
        <is>
          <t>Viện Dinh Dưỡng QG</t>
        </is>
      </c>
      <c r="N24" s="43" t="inlineStr">
        <is>
          <t>Nạc, ít mỡ, giá rẻ</t>
        </is>
      </c>
    </row>
    <row r="25" ht="22" customHeight="1">
      <c r="A25" s="24" t="inlineStr">
        <is>
          <t>FD021</t>
        </is>
      </c>
      <c r="B25" s="37" t="inlineStr">
        <is>
          <t>Đậu phụ trắng (Tofu)</t>
        </is>
      </c>
      <c r="C25" s="24" t="inlineStr">
        <is>
          <t>Nguồn đạm</t>
        </is>
      </c>
      <c r="D25" s="24" t="inlineStr">
        <is>
          <t>Sống / Tươi</t>
        </is>
      </c>
      <c r="E25" s="24" t="inlineStr">
        <is>
          <t>g</t>
        </is>
      </c>
      <c r="F25" s="38" t="n">
        <v>100</v>
      </c>
      <c r="G25" s="39" t="n">
        <v>76</v>
      </c>
      <c r="H25" s="39" t="n">
        <v>8.1</v>
      </c>
      <c r="I25" s="39" t="n">
        <v>1.9</v>
      </c>
      <c r="J25" s="39" t="n">
        <v>4.8</v>
      </c>
      <c r="K25" s="39" t="n">
        <v>0.4</v>
      </c>
      <c r="L25" s="40" t="n">
        <v>3000</v>
      </c>
      <c r="M25" s="38" t="inlineStr">
        <is>
          <t>Viện Dinh Dưỡng QG</t>
        </is>
      </c>
      <c r="N25" s="38" t="inlineStr">
        <is>
          <t>Đạm thực vật lành tính, làm mát ruột</t>
        </is>
      </c>
    </row>
    <row r="26" ht="22" customHeight="1">
      <c r="A26" s="41" t="inlineStr">
        <is>
          <t>FD022</t>
        </is>
      </c>
      <c r="B26" s="42" t="inlineStr">
        <is>
          <t>Tôm tươi bóc vỏ</t>
        </is>
      </c>
      <c r="C26" s="41" t="inlineStr">
        <is>
          <t>Nguồn đạm</t>
        </is>
      </c>
      <c r="D26" s="41" t="inlineStr">
        <is>
          <t>Sống / Tươi</t>
        </is>
      </c>
      <c r="E26" s="41" t="inlineStr">
        <is>
          <t>g</t>
        </is>
      </c>
      <c r="F26" s="43" t="n">
        <v>100</v>
      </c>
      <c r="G26" s="44" t="n">
        <v>85</v>
      </c>
      <c r="H26" s="44" t="n">
        <v>18</v>
      </c>
      <c r="I26" s="44" t="n">
        <v>0.9</v>
      </c>
      <c r="J26" s="44" t="n">
        <v>0.9</v>
      </c>
      <c r="K26" s="44" t="n">
        <v>0</v>
      </c>
      <c r="L26" s="45" t="n">
        <v>20000</v>
      </c>
      <c r="M26" s="43" t="inlineStr">
        <is>
          <t>Viện Dinh Dưỡng QG</t>
        </is>
      </c>
      <c r="N26" s="43" t="inlineStr">
        <is>
          <t>Đạm cao, không ngấy</t>
        </is>
      </c>
    </row>
    <row r="27" ht="22" customHeight="1">
      <c r="A27" s="24" t="inlineStr">
        <is>
          <t>FD023</t>
        </is>
      </c>
      <c r="B27" s="37" t="inlineStr">
        <is>
          <t>Bơ đậu phộng (Peanut Butter)</t>
        </is>
      </c>
      <c r="C27" s="24" t="inlineStr">
        <is>
          <t>Chất béo tốt</t>
        </is>
      </c>
      <c r="D27" s="24" t="inlineStr">
        <is>
          <t>Đóng gói / Chế biến</t>
        </is>
      </c>
      <c r="E27" s="24" t="inlineStr">
        <is>
          <t>g</t>
        </is>
      </c>
      <c r="F27" s="38" t="n">
        <v>30</v>
      </c>
      <c r="G27" s="39" t="n">
        <v>588</v>
      </c>
      <c r="H27" s="39" t="n">
        <v>25</v>
      </c>
      <c r="I27" s="39" t="n">
        <v>20</v>
      </c>
      <c r="J27" s="39" t="n">
        <v>50</v>
      </c>
      <c r="K27" s="39" t="n">
        <v>6</v>
      </c>
      <c r="L27" s="40" t="n">
        <v>12000</v>
      </c>
      <c r="M27" s="38" t="inlineStr">
        <is>
          <t>Bao bì Golden Farm / Skippy</t>
        </is>
      </c>
      <c r="N27" s="38" t="inlineStr">
        <is>
          <t>VŨ KHÍ TĂNG CÂN: Cực giàu calo và béo tốt</t>
        </is>
      </c>
    </row>
    <row r="28" ht="22" customHeight="1">
      <c r="A28" s="41" t="inlineStr">
        <is>
          <t>FD024</t>
        </is>
      </c>
      <c r="B28" s="42" t="inlineStr">
        <is>
          <t>Đậu phộng rang</t>
        </is>
      </c>
      <c r="C28" s="41" t="inlineStr">
        <is>
          <t>Chất béo tốt</t>
        </is>
      </c>
      <c r="D28" s="41" t="inlineStr">
        <is>
          <t>Khô</t>
        </is>
      </c>
      <c r="E28" s="41" t="inlineStr">
        <is>
          <t>g</t>
        </is>
      </c>
      <c r="F28" s="43" t="n">
        <v>30</v>
      </c>
      <c r="G28" s="44" t="n">
        <v>567</v>
      </c>
      <c r="H28" s="44" t="n">
        <v>25.8</v>
      </c>
      <c r="I28" s="44" t="n">
        <v>16.1</v>
      </c>
      <c r="J28" s="44" t="n">
        <v>49.2</v>
      </c>
      <c r="K28" s="44" t="n">
        <v>8.5</v>
      </c>
      <c r="L28" s="45" t="n">
        <v>6000</v>
      </c>
      <c r="M28" s="43" t="inlineStr">
        <is>
          <t>Viện Dinh Dưỡng QG</t>
        </is>
      </c>
      <c r="N28" s="43" t="inlineStr">
        <is>
          <t>Ăn vặt bữa phụ, rẻ và tiện</t>
        </is>
      </c>
    </row>
    <row r="29" ht="22" customHeight="1">
      <c r="A29" s="24" t="inlineStr">
        <is>
          <t>FD025</t>
        </is>
      </c>
      <c r="B29" s="37" t="inlineStr">
        <is>
          <t>Hạt điều rang muối</t>
        </is>
      </c>
      <c r="C29" s="24" t="inlineStr">
        <is>
          <t>Chất béo tốt</t>
        </is>
      </c>
      <c r="D29" s="24" t="inlineStr">
        <is>
          <t>Khô</t>
        </is>
      </c>
      <c r="E29" s="24" t="inlineStr">
        <is>
          <t>g</t>
        </is>
      </c>
      <c r="F29" s="38" t="n">
        <v>30</v>
      </c>
      <c r="G29" s="39" t="n">
        <v>553</v>
      </c>
      <c r="H29" s="39" t="n">
        <v>18.2</v>
      </c>
      <c r="I29" s="39" t="n">
        <v>30.2</v>
      </c>
      <c r="J29" s="39" t="n">
        <v>43.8</v>
      </c>
      <c r="K29" s="39" t="n">
        <v>3.3</v>
      </c>
      <c r="L29" s="40" t="n">
        <v>25000</v>
      </c>
      <c r="M29" s="38" t="inlineStr">
        <is>
          <t>USDA Nutrient Database</t>
        </is>
      </c>
      <c r="N29" s="38" t="inlineStr">
        <is>
          <t>Béo bùi, dễ ăn</t>
        </is>
      </c>
    </row>
    <row r="30" ht="22" customHeight="1">
      <c r="A30" s="41" t="inlineStr">
        <is>
          <t>FD026</t>
        </is>
      </c>
      <c r="B30" s="42" t="inlineStr">
        <is>
          <t>Dầu ăn thực vật (dầu nành)</t>
        </is>
      </c>
      <c r="C30" s="41" t="inlineStr">
        <is>
          <t>Chất béo tốt</t>
        </is>
      </c>
      <c r="D30" s="41" t="inlineStr">
        <is>
          <t>Đóng gói / Chế biến</t>
        </is>
      </c>
      <c r="E30" s="41" t="inlineStr">
        <is>
          <t>g</t>
        </is>
      </c>
      <c r="F30" s="43" t="n">
        <v>10</v>
      </c>
      <c r="G30" s="44" t="n">
        <v>884</v>
      </c>
      <c r="H30" s="44" t="n">
        <v>0</v>
      </c>
      <c r="I30" s="44" t="n">
        <v>0</v>
      </c>
      <c r="J30" s="44" t="n">
        <v>100</v>
      </c>
      <c r="K30" s="44" t="n">
        <v>0</v>
      </c>
      <c r="L30" s="45" t="n">
        <v>4000</v>
      </c>
      <c r="M30" s="43" t="inlineStr">
        <is>
          <t>Nhãn Neptune / Simply</t>
        </is>
      </c>
      <c r="N30" s="43" t="inlineStr">
        <is>
          <t>1 muỗng canh ~10-14g</t>
        </is>
      </c>
    </row>
    <row r="31" ht="22" customHeight="1">
      <c r="A31" s="24" t="inlineStr">
        <is>
          <t>FD027</t>
        </is>
      </c>
      <c r="B31" s="37" t="inlineStr">
        <is>
          <t>Dầu ô liu nguyên chất</t>
        </is>
      </c>
      <c r="C31" s="24" t="inlineStr">
        <is>
          <t>Chất béo tốt</t>
        </is>
      </c>
      <c r="D31" s="24" t="inlineStr">
        <is>
          <t>Đóng gói / Chế biến</t>
        </is>
      </c>
      <c r="E31" s="24" t="inlineStr">
        <is>
          <t>g</t>
        </is>
      </c>
      <c r="F31" s="38" t="n">
        <v>10</v>
      </c>
      <c r="G31" s="39" t="n">
        <v>884</v>
      </c>
      <c r="H31" s="39" t="n">
        <v>0</v>
      </c>
      <c r="I31" s="39" t="n">
        <v>0</v>
      </c>
      <c r="J31" s="39" t="n">
        <v>100</v>
      </c>
      <c r="K31" s="39" t="n">
        <v>0</v>
      </c>
      <c r="L31" s="40" t="n">
        <v>15000</v>
      </c>
      <c r="M31" s="38" t="inlineStr">
        <is>
          <t>Bao bì Borges</t>
        </is>
      </c>
      <c r="N31" s="38" t="inlineStr">
        <is>
          <t>Dùng trộn salad hoặc rưới vào cơm</t>
        </is>
      </c>
    </row>
    <row r="32" ht="22" customHeight="1">
      <c r="A32" s="41" t="inlineStr">
        <is>
          <t>FD028</t>
        </is>
      </c>
      <c r="B32" s="42" t="inlineStr">
        <is>
          <t>Sữa tươi có đường (Vinamilk)</t>
        </is>
      </c>
      <c r="C32" s="41" t="inlineStr">
        <is>
          <t>Sữa &amp; Chế phẩm</t>
        </is>
      </c>
      <c r="D32" s="41" t="inlineStr">
        <is>
          <t>Đóng gói / Chế biến</t>
        </is>
      </c>
      <c r="E32" s="41" t="inlineStr">
        <is>
          <t>ml</t>
        </is>
      </c>
      <c r="F32" s="43" t="n">
        <v>220</v>
      </c>
      <c r="G32" s="44" t="n">
        <v>73</v>
      </c>
      <c r="H32" s="44" t="n">
        <v>3</v>
      </c>
      <c r="I32" s="44" t="n">
        <v>8.5</v>
      </c>
      <c r="J32" s="44" t="n">
        <v>3.2</v>
      </c>
      <c r="K32" s="44" t="n">
        <v>0</v>
      </c>
      <c r="L32" s="45" t="n">
        <v>3600</v>
      </c>
      <c r="M32" s="43" t="inlineStr">
        <is>
          <t>Bao bì Vinamilk hộp 220ml</t>
        </is>
      </c>
      <c r="N32" s="43" t="inlineStr">
        <is>
          <t>1 hộp 220ml cung cấp ~160 kcal</t>
        </is>
      </c>
    </row>
    <row r="33" ht="22" customHeight="1">
      <c r="A33" s="24" t="inlineStr">
        <is>
          <t>FD029</t>
        </is>
      </c>
      <c r="B33" s="37" t="inlineStr">
        <is>
          <t>Sữa tươi không đường (Vinamilk)</t>
        </is>
      </c>
      <c r="C33" s="24" t="inlineStr">
        <is>
          <t>Sữa &amp; Chế phẩm</t>
        </is>
      </c>
      <c r="D33" s="24" t="inlineStr">
        <is>
          <t>Đóng gói / Chế biến</t>
        </is>
      </c>
      <c r="E33" s="24" t="inlineStr">
        <is>
          <t>ml</t>
        </is>
      </c>
      <c r="F33" s="38" t="n">
        <v>220</v>
      </c>
      <c r="G33" s="39" t="n">
        <v>60</v>
      </c>
      <c r="H33" s="39" t="n">
        <v>3</v>
      </c>
      <c r="I33" s="39" t="n">
        <v>4.5</v>
      </c>
      <c r="J33" s="39" t="n">
        <v>3.3</v>
      </c>
      <c r="K33" s="39" t="n">
        <v>0</v>
      </c>
      <c r="L33" s="40" t="n">
        <v>3600</v>
      </c>
      <c r="M33" s="38" t="inlineStr">
        <is>
          <t>Bao bì Vinamilk hộp 220ml</t>
        </is>
      </c>
      <c r="N33" s="38" t="inlineStr">
        <is>
          <t>1 hộp 220ml cung cấp ~132 kcal</t>
        </is>
      </c>
    </row>
    <row r="34" ht="22" customHeight="1">
      <c r="A34" s="41" t="inlineStr">
        <is>
          <t>FD030</t>
        </is>
      </c>
      <c r="B34" s="42" t="inlineStr">
        <is>
          <t>Sữa chua có đường</t>
        </is>
      </c>
      <c r="C34" s="41" t="inlineStr">
        <is>
          <t>Sữa &amp; Chế phẩm</t>
        </is>
      </c>
      <c r="D34" s="41" t="inlineStr">
        <is>
          <t>Đóng gói / Chế biến</t>
        </is>
      </c>
      <c r="E34" s="41" t="inlineStr">
        <is>
          <t>g</t>
        </is>
      </c>
      <c r="F34" s="43" t="n">
        <v>100</v>
      </c>
      <c r="G34" s="44" t="n">
        <v>100</v>
      </c>
      <c r="H34" s="44" t="n">
        <v>3.2</v>
      </c>
      <c r="I34" s="44" t="n">
        <v>14.5</v>
      </c>
      <c r="J34" s="44" t="n">
        <v>2.8</v>
      </c>
      <c r="K34" s="44" t="n">
        <v>0</v>
      </c>
      <c r="L34" s="45" t="n">
        <v>6000</v>
      </c>
      <c r="M34" s="43" t="inlineStr">
        <is>
          <t>Bao bì Vinamilk hộp 100g</t>
        </is>
      </c>
      <c r="N34" s="43" t="inlineStr">
        <is>
          <t>Hỗ trợ tiêu hóa men vi sinh</t>
        </is>
      </c>
    </row>
    <row r="35" ht="22" customHeight="1">
      <c r="A35" s="24" t="inlineStr">
        <is>
          <t>FD031</t>
        </is>
      </c>
      <c r="B35" s="37" t="inlineStr">
        <is>
          <t>Sữa đặc có đường Ông Thọ</t>
        </is>
      </c>
      <c r="C35" s="24" t="inlineStr">
        <is>
          <t>Sữa &amp; Chế phẩm</t>
        </is>
      </c>
      <c r="D35" s="24" t="inlineStr">
        <is>
          <t>Đóng gói / Chế biến</t>
        </is>
      </c>
      <c r="E35" s="24" t="inlineStr">
        <is>
          <t>g</t>
        </is>
      </c>
      <c r="F35" s="38" t="n">
        <v>20</v>
      </c>
      <c r="G35" s="39" t="n">
        <v>340</v>
      </c>
      <c r="H35" s="39" t="n">
        <v>8</v>
      </c>
      <c r="I35" s="39" t="n">
        <v>56</v>
      </c>
      <c r="J35" s="39" t="n">
        <v>9</v>
      </c>
      <c r="K35" s="39" t="n">
        <v>0</v>
      </c>
      <c r="L35" s="40" t="n">
        <v>5000</v>
      </c>
      <c r="M35" s="38" t="inlineStr">
        <is>
          <t>Bao bì Vinamilk Ông Thọ</t>
        </is>
      </c>
      <c r="N35" s="38" t="inlineStr">
        <is>
          <t>Tăng ngọt, tăng calo nhanh cho sinh tố</t>
        </is>
      </c>
    </row>
    <row r="36" ht="22" customHeight="1">
      <c r="A36" s="41" t="inlineStr">
        <is>
          <t>FD032</t>
        </is>
      </c>
      <c r="B36" s="42" t="inlineStr">
        <is>
          <t>Phô mai con bò cười (1 viên)</t>
        </is>
      </c>
      <c r="C36" s="41" t="inlineStr">
        <is>
          <t>Sữa &amp; Chế phẩm</t>
        </is>
      </c>
      <c r="D36" s="41" t="inlineStr">
        <is>
          <t>Đóng gói / Chế biến</t>
        </is>
      </c>
      <c r="E36" s="41" t="inlineStr">
        <is>
          <t>viên</t>
        </is>
      </c>
      <c r="F36" s="43" t="n">
        <v>15</v>
      </c>
      <c r="G36" s="44" t="n">
        <v>250</v>
      </c>
      <c r="H36" s="44" t="n">
        <v>11</v>
      </c>
      <c r="I36" s="44" t="n">
        <v>5</v>
      </c>
      <c r="J36" s="44" t="n">
        <v>21</v>
      </c>
      <c r="K36" s="44" t="n">
        <v>0</v>
      </c>
      <c r="L36" s="45" t="n">
        <v>5000</v>
      </c>
      <c r="M36" s="43" t="inlineStr">
        <is>
          <t>Bao bì Bel</t>
        </is>
      </c>
      <c r="N36" s="43" t="inlineStr">
        <is>
          <t>1 viên 15g cung cấp ~38 kcal</t>
        </is>
      </c>
    </row>
    <row r="37" ht="22" customHeight="1">
      <c r="A37" s="24" t="inlineStr">
        <is>
          <t>FD033</t>
        </is>
      </c>
      <c r="B37" s="37" t="inlineStr">
        <is>
          <t>Rau muống luộc</t>
        </is>
      </c>
      <c r="C37" s="24" t="inlineStr">
        <is>
          <t>Rau củ quả</t>
        </is>
      </c>
      <c r="D37" s="24" t="inlineStr">
        <is>
          <t>Nấu chín</t>
        </is>
      </c>
      <c r="E37" s="24" t="inlineStr">
        <is>
          <t>g</t>
        </is>
      </c>
      <c r="F37" s="38" t="n">
        <v>100</v>
      </c>
      <c r="G37" s="39" t="n">
        <v>23</v>
      </c>
      <c r="H37" s="39" t="n">
        <v>2.5</v>
      </c>
      <c r="I37" s="39" t="n">
        <v>3.1</v>
      </c>
      <c r="J37" s="39" t="n">
        <v>0.2</v>
      </c>
      <c r="K37" s="39" t="n">
        <v>1.8</v>
      </c>
      <c r="L37" s="40" t="n">
        <v>2000</v>
      </c>
      <c r="M37" s="38" t="inlineStr">
        <is>
          <t>Viện Dinh Dưỡng QG</t>
        </is>
      </c>
      <c r="N37" s="38" t="inlineStr">
        <is>
          <t>Rau quốc dân, giàu chất xơ</t>
        </is>
      </c>
    </row>
    <row r="38" ht="22" customHeight="1">
      <c r="A38" s="41" t="inlineStr">
        <is>
          <t>FD034</t>
        </is>
      </c>
      <c r="B38" s="42" t="inlineStr">
        <is>
          <t>Bông cải xanh (Broccoli) luộc</t>
        </is>
      </c>
      <c r="C38" s="41" t="inlineStr">
        <is>
          <t>Rau củ quả</t>
        </is>
      </c>
      <c r="D38" s="41" t="inlineStr">
        <is>
          <t>Nấu chín</t>
        </is>
      </c>
      <c r="E38" s="41" t="inlineStr">
        <is>
          <t>g</t>
        </is>
      </c>
      <c r="F38" s="43" t="n">
        <v>100</v>
      </c>
      <c r="G38" s="44" t="n">
        <v>34</v>
      </c>
      <c r="H38" s="44" t="n">
        <v>2.8</v>
      </c>
      <c r="I38" s="44" t="n">
        <v>7</v>
      </c>
      <c r="J38" s="44" t="n">
        <v>0.4</v>
      </c>
      <c r="K38" s="44" t="n">
        <v>2.6</v>
      </c>
      <c r="L38" s="45" t="n">
        <v>5000</v>
      </c>
      <c r="M38" s="43" t="inlineStr">
        <is>
          <t>USDA Nutrient Database</t>
        </is>
      </c>
      <c r="N38" s="43" t="inlineStr">
        <is>
          <t>Giàu vitamin C, canxi, vi chất</t>
        </is>
      </c>
    </row>
    <row r="39" ht="22" customHeight="1">
      <c r="A39" s="24" t="inlineStr">
        <is>
          <t>FD035</t>
        </is>
      </c>
      <c r="B39" s="37" t="inlineStr">
        <is>
          <t>Rau cải thìa / Cải ngọt luộc</t>
        </is>
      </c>
      <c r="C39" s="24" t="inlineStr">
        <is>
          <t>Rau củ quả</t>
        </is>
      </c>
      <c r="D39" s="24" t="inlineStr">
        <is>
          <t>Nấu chín</t>
        </is>
      </c>
      <c r="E39" s="24" t="inlineStr">
        <is>
          <t>g</t>
        </is>
      </c>
      <c r="F39" s="38" t="n">
        <v>100</v>
      </c>
      <c r="G39" s="39" t="n">
        <v>16</v>
      </c>
      <c r="H39" s="39" t="n">
        <v>1.5</v>
      </c>
      <c r="I39" s="39" t="n">
        <v>2.2</v>
      </c>
      <c r="J39" s="39" t="n">
        <v>0.2</v>
      </c>
      <c r="K39" s="39" t="n">
        <v>1.2</v>
      </c>
      <c r="L39" s="40" t="n">
        <v>2500</v>
      </c>
      <c r="M39" s="38" t="inlineStr">
        <is>
          <t>Viện Dinh Dưỡng QG</t>
        </is>
      </c>
      <c r="N39" s="38" t="inlineStr">
        <is>
          <t>Mềm, dễ tiêu</t>
        </is>
      </c>
    </row>
    <row r="40" ht="22" customHeight="1">
      <c r="A40" s="41" t="inlineStr">
        <is>
          <t>FD036</t>
        </is>
      </c>
      <c r="B40" s="42" t="inlineStr">
        <is>
          <t>Dưa leo (dưa chuột)</t>
        </is>
      </c>
      <c r="C40" s="41" t="inlineStr">
        <is>
          <t>Rau củ quả</t>
        </is>
      </c>
      <c r="D40" s="41" t="inlineStr">
        <is>
          <t>Sống / Tươi</t>
        </is>
      </c>
      <c r="E40" s="41" t="inlineStr">
        <is>
          <t>g</t>
        </is>
      </c>
      <c r="F40" s="43" t="n">
        <v>100</v>
      </c>
      <c r="G40" s="44" t="n">
        <v>15</v>
      </c>
      <c r="H40" s="44" t="n">
        <v>0.7</v>
      </c>
      <c r="I40" s="44" t="n">
        <v>3.6</v>
      </c>
      <c r="J40" s="44" t="n">
        <v>0.1</v>
      </c>
      <c r="K40" s="44" t="n">
        <v>0.5</v>
      </c>
      <c r="L40" s="45" t="n">
        <v>2000</v>
      </c>
      <c r="M40" s="43" t="inlineStr">
        <is>
          <t>Viện Dinh Dưỡng QG</t>
        </is>
      </c>
      <c r="N40" s="43" t="inlineStr">
        <is>
          <t>Cấp nước, ăn kèm đồ xào đỡ ngán</t>
        </is>
      </c>
    </row>
    <row r="41" ht="22" customHeight="1">
      <c r="A41" s="24" t="inlineStr">
        <is>
          <t>FD037</t>
        </is>
      </c>
      <c r="B41" s="37" t="inlineStr">
        <is>
          <t>Cà chua chín</t>
        </is>
      </c>
      <c r="C41" s="24" t="inlineStr">
        <is>
          <t>Rau củ quả</t>
        </is>
      </c>
      <c r="D41" s="24" t="inlineStr">
        <is>
          <t>Sống / Tươi</t>
        </is>
      </c>
      <c r="E41" s="24" t="inlineStr">
        <is>
          <t>g</t>
        </is>
      </c>
      <c r="F41" s="38" t="n">
        <v>100</v>
      </c>
      <c r="G41" s="39" t="n">
        <v>18</v>
      </c>
      <c r="H41" s="39" t="n">
        <v>0.9</v>
      </c>
      <c r="I41" s="39" t="n">
        <v>3.9</v>
      </c>
      <c r="J41" s="39" t="n">
        <v>0.2</v>
      </c>
      <c r="K41" s="39" t="n">
        <v>1.2</v>
      </c>
      <c r="L41" s="40" t="n">
        <v>2500</v>
      </c>
      <c r="M41" s="38" t="inlineStr">
        <is>
          <t>Viện Dinh Dưỡng QG</t>
        </is>
      </c>
      <c r="N41" s="38" t="inlineStr">
        <is>
          <t>Giàu lycopene chống oxy hóa</t>
        </is>
      </c>
    </row>
    <row r="42" ht="22" customHeight="1">
      <c r="A42" s="41" t="inlineStr">
        <is>
          <t>FD038</t>
        </is>
      </c>
      <c r="B42" s="42" t="inlineStr">
        <is>
          <t>Bơ sáp (Avocado)</t>
        </is>
      </c>
      <c r="C42" s="41" t="inlineStr">
        <is>
          <t>Rau củ quả</t>
        </is>
      </c>
      <c r="D42" s="41" t="inlineStr">
        <is>
          <t>Sống / Tươi</t>
        </is>
      </c>
      <c r="E42" s="41" t="inlineStr">
        <is>
          <t>g</t>
        </is>
      </c>
      <c r="F42" s="43" t="n">
        <v>100</v>
      </c>
      <c r="G42" s="44" t="n">
        <v>160</v>
      </c>
      <c r="H42" s="44" t="n">
        <v>2</v>
      </c>
      <c r="I42" s="44" t="n">
        <v>8.5</v>
      </c>
      <c r="J42" s="44" t="n">
        <v>14.7</v>
      </c>
      <c r="K42" s="44" t="n">
        <v>6.7</v>
      </c>
      <c r="L42" s="45" t="n">
        <v>7000</v>
      </c>
      <c r="M42" s="43" t="inlineStr">
        <is>
          <t>USDA Nutrient Database</t>
        </is>
      </c>
      <c r="N42" s="43" t="inlineStr">
        <is>
          <t>Chất béo đơn bất bão hòa siêu tốt</t>
        </is>
      </c>
    </row>
    <row r="43" ht="22" customHeight="1">
      <c r="A43" s="24" t="inlineStr">
        <is>
          <t>FD039</t>
        </is>
      </c>
      <c r="B43" s="37" t="inlineStr">
        <is>
          <t>Táo tây (Apple)</t>
        </is>
      </c>
      <c r="C43" s="24" t="inlineStr">
        <is>
          <t>Rau củ quả</t>
        </is>
      </c>
      <c r="D43" s="24" t="inlineStr">
        <is>
          <t>Sống / Tươi</t>
        </is>
      </c>
      <c r="E43" s="24" t="inlineStr">
        <is>
          <t>g</t>
        </is>
      </c>
      <c r="F43" s="38" t="n">
        <v>100</v>
      </c>
      <c r="G43" s="39" t="n">
        <v>52</v>
      </c>
      <c r="H43" s="39" t="n">
        <v>0.3</v>
      </c>
      <c r="I43" s="39" t="n">
        <v>13.8</v>
      </c>
      <c r="J43" s="39" t="n">
        <v>0.2</v>
      </c>
      <c r="K43" s="39" t="n">
        <v>2.4</v>
      </c>
      <c r="L43" s="40" t="n">
        <v>6000</v>
      </c>
      <c r="M43" s="38" t="inlineStr">
        <is>
          <t>USDA Nutrient Database</t>
        </is>
      </c>
      <c r="N43" s="38" t="inlineStr">
        <is>
          <t>Trái cây tráng miệng dễ ăn</t>
        </is>
      </c>
    </row>
    <row r="44" ht="22" customHeight="1">
      <c r="A44" s="41" t="inlineStr">
        <is>
          <t>FD040</t>
        </is>
      </c>
      <c r="B44" s="42" t="inlineStr">
        <is>
          <t>Whey Protein Isolate / Blend</t>
        </is>
      </c>
      <c r="C44" s="41" t="inlineStr">
        <is>
          <t>Thực phẩm bổ sung</t>
        </is>
      </c>
      <c r="D44" s="41" t="inlineStr">
        <is>
          <t>Khô</t>
        </is>
      </c>
      <c r="E44" s="41" t="inlineStr">
        <is>
          <t>muỗng</t>
        </is>
      </c>
      <c r="F44" s="43" t="n">
        <v>30</v>
      </c>
      <c r="G44" s="44" t="n">
        <v>400</v>
      </c>
      <c r="H44" s="44" t="n">
        <v>80</v>
      </c>
      <c r="I44" s="44" t="n">
        <v>3</v>
      </c>
      <c r="J44" s="44" t="n">
        <v>3</v>
      </c>
      <c r="K44" s="44" t="n">
        <v>0</v>
      </c>
      <c r="L44" s="45" t="n">
        <v>20000</v>
      </c>
      <c r="M44" s="43" t="inlineStr">
        <is>
          <t>Bao bì Rule 1 / Optimum Nutrition</t>
        </is>
      </c>
      <c r="N44" s="43" t="inlineStr">
        <is>
          <t>1 muỗng 30g cung cấp ~24g đạm, tiện lợi</t>
        </is>
      </c>
    </row>
    <row r="45" ht="22" customHeight="1">
      <c r="A45" s="24" t="inlineStr">
        <is>
          <t>FD041</t>
        </is>
      </c>
      <c r="B45" s="37" t="inlineStr">
        <is>
          <t>Mass Gainer (Sữa tăng cân)</t>
        </is>
      </c>
      <c r="C45" s="24" t="inlineStr">
        <is>
          <t>Thực phẩm bổ sung</t>
        </is>
      </c>
      <c r="D45" s="24" t="inlineStr">
        <is>
          <t>Khô</t>
        </is>
      </c>
      <c r="E45" s="24" t="inlineStr">
        <is>
          <t>muỗng</t>
        </is>
      </c>
      <c r="F45" s="38" t="n">
        <v>150</v>
      </c>
      <c r="G45" s="39" t="n">
        <v>380</v>
      </c>
      <c r="H45" s="39" t="n">
        <v>15</v>
      </c>
      <c r="I45" s="39" t="n">
        <v>75</v>
      </c>
      <c r="J45" s="39" t="n">
        <v>2</v>
      </c>
      <c r="K45" s="39" t="n">
        <v>1</v>
      </c>
      <c r="L45" s="40" t="n">
        <v>30000</v>
      </c>
      <c r="M45" s="38" t="inlineStr">
        <is>
          <t>Bao bì Super Mass / Serious Mass</t>
        </is>
      </c>
      <c r="N45" s="38" t="inlineStr">
        <is>
          <t>Tham khảo - Không bắt buộc nếu ăn đủ cơm</t>
        </is>
      </c>
    </row>
    <row r="46" ht="22" customHeight="1">
      <c r="A46" s="41" t="inlineStr">
        <is>
          <t>FD042</t>
        </is>
      </c>
      <c r="B46" s="42" t="inlineStr">
        <is>
          <t>Nước lọc tinh khiết</t>
        </is>
      </c>
      <c r="C46" s="41" t="inlineStr">
        <is>
          <t>Gia vị &amp; Khác</t>
        </is>
      </c>
      <c r="D46" s="41" t="inlineStr">
        <is>
          <t>Đóng gói / Chế biến</t>
        </is>
      </c>
      <c r="E46" s="41" t="inlineStr">
        <is>
          <t>ml</t>
        </is>
      </c>
      <c r="F46" s="43" t="n">
        <v>500</v>
      </c>
      <c r="G46" s="44" t="n">
        <v>0</v>
      </c>
      <c r="H46" s="44" t="n">
        <v>0</v>
      </c>
      <c r="I46" s="44" t="n">
        <v>0</v>
      </c>
      <c r="J46" s="44" t="n">
        <v>0</v>
      </c>
      <c r="K46" s="44" t="n">
        <v>0</v>
      </c>
      <c r="L46" s="45" t="n">
        <v>1000</v>
      </c>
      <c r="M46" s="43" t="inlineStr">
        <is>
          <t>Quy chuẩn</t>
        </is>
      </c>
      <c r="N46" s="43" t="inlineStr">
        <is>
          <t>Uống đủ 2.5 lít/ngày</t>
        </is>
      </c>
    </row>
  </sheetData>
  <mergeCells count="2">
    <mergeCell ref="A2:N2"/>
    <mergeCell ref="A1:N1"/>
  </mergeCells>
  <pageMargins left="0.75" right="0.75" top="1" bottom="1" header="0.5" footer="0.5"/>
</worksheet>
</file>

<file path=xl/worksheets/sheet5.xml><?xml version="1.0" encoding="utf-8"?>
<worksheet xmlns="http://schemas.openxmlformats.org/spreadsheetml/2006/main">
  <sheetPr>
    <tabColor rgb="00059669"/>
    <outlinePr summaryBelow="1" summaryRight="1"/>
    <pageSetUpPr/>
  </sheetPr>
  <dimension ref="A1:O10"/>
  <sheetViews>
    <sheetView showGridLines="1"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34" customWidth="1" min="2" max="2"/>
    <col width="38" customWidth="1" min="3" max="3"/>
    <col width="14" customWidth="1" min="4" max="4"/>
    <col width="14" customWidth="1" min="5" max="5"/>
    <col width="14" customWidth="1" min="6" max="6"/>
    <col width="14" customWidth="1" min="7" max="7"/>
    <col width="12" customWidth="1" min="8" max="8"/>
    <col width="14" customWidth="1" min="9" max="9"/>
    <col width="14" customWidth="1" min="10" max="10"/>
    <col width="14" customWidth="1" min="11" max="11"/>
    <col width="14" customWidth="1" min="12" max="12"/>
    <col width="16" customWidth="1" min="13" max="13"/>
    <col width="14" customWidth="1" min="14" max="14"/>
    <col width="35" customWidth="1" min="15" max="15"/>
  </cols>
  <sheetData>
    <row r="1" ht="36" customHeight="1">
      <c r="A1" s="1" t="inlineStr">
        <is>
          <t>CÔNG THỨC MÓN ĂN TĂNG CÂN &amp; MEAL-PREP CHO SINH VIÊN (RECIPE DATABASE)</t>
        </is>
      </c>
    </row>
    <row r="2" ht="22" customHeight="1">
      <c r="A2" s="46" t="inlineStr">
        <is>
          <t>Các món mẫu [SAMPLE] được tính toán từ Food Database. Bạn có thể thêm các món gia đình thường nấu để nhập liệu nhanh hơn!</t>
        </is>
      </c>
    </row>
    <row r="4" ht="26" customHeight="1">
      <c r="A4" s="36" t="inlineStr">
        <is>
          <t>Recipe ID</t>
        </is>
      </c>
      <c r="B4" s="36" t="inlineStr">
        <is>
          <t>Tên Món Ăn</t>
        </is>
      </c>
      <c r="C4" s="36" t="inlineStr">
        <is>
          <t>Danh Sách Nguyên Liệu Chi Tiết</t>
        </is>
      </c>
      <c r="D4" s="36" t="inlineStr">
        <is>
          <t>Tổng Kcal</t>
        </is>
      </c>
      <c r="E4" s="36" t="inlineStr">
        <is>
          <t>Protein (g)</t>
        </is>
      </c>
      <c r="F4" s="36" t="inlineStr">
        <is>
          <t>Carb (g)</t>
        </is>
      </c>
      <c r="G4" s="36" t="inlineStr">
        <is>
          <t>Fat (g)</t>
        </is>
      </c>
      <c r="H4" s="36" t="inlineStr">
        <is>
          <t>Khẩu Phần</t>
        </is>
      </c>
      <c r="I4" s="36" t="inlineStr">
        <is>
          <t>Kcal / Suất</t>
        </is>
      </c>
      <c r="J4" s="36" t="inlineStr">
        <is>
          <t>P / Suất</t>
        </is>
      </c>
      <c r="K4" s="36" t="inlineStr">
        <is>
          <t>C / Suất</t>
        </is>
      </c>
      <c r="L4" s="36" t="inlineStr">
        <is>
          <t>F / Suất</t>
        </is>
      </c>
      <c r="M4" s="36" t="inlineStr">
        <is>
          <t>Giá / Suất</t>
        </is>
      </c>
      <c r="N4" s="36" t="inlineStr">
        <is>
          <t>Thời Gian</t>
        </is>
      </c>
      <c r="O4" s="36" t="inlineStr">
        <is>
          <t>Hướng Dẫn Nấu &amp; Bảo Quản</t>
        </is>
      </c>
    </row>
    <row r="5" ht="24" customHeight="1">
      <c r="A5" s="24" t="inlineStr">
        <is>
          <t>RCP001</t>
        </is>
      </c>
      <c r="B5" s="38" t="inlineStr">
        <is>
          <t>[SAMPLE] Sinh Tố Mass Tự Làm (Home-made Shake)</t>
        </is>
      </c>
      <c r="C5" s="38" t="inlineStr">
        <is>
          <t>1 quả chuối (100g) + 220ml Sữa tươi + 40g Yến mạch + 30g Bơ đậu phộng + 15g Sữa đặc</t>
        </is>
      </c>
      <c r="D5" s="39" t="n">
        <v>625</v>
      </c>
      <c r="E5" s="39" t="n">
        <v>20.5</v>
      </c>
      <c r="F5" s="39" t="n">
        <v>81</v>
      </c>
      <c r="G5" s="39" t="n">
        <v>24</v>
      </c>
      <c r="H5" s="24" t="n">
        <v>1</v>
      </c>
      <c r="I5" s="47">
        <f>D5/H5</f>
        <v/>
      </c>
      <c r="J5" s="47">
        <f>E5/H5</f>
        <v/>
      </c>
      <c r="K5" s="47">
        <f>F5/H5</f>
        <v/>
      </c>
      <c r="L5" s="47">
        <f>G5/H5</f>
        <v/>
      </c>
      <c r="M5" s="40" t="n">
        <v>19000</v>
      </c>
      <c r="N5" s="24" t="inlineStr">
        <is>
          <t>5 phút</t>
        </is>
      </c>
      <c r="O5" s="38" t="inlineStr">
        <is>
          <t>Cho tất cả vào máy xay sinh tố 60s. Uống bữa phụ chiều hoặc sau tập. Rất dễ nuốt!</t>
        </is>
      </c>
    </row>
    <row r="6" ht="24" customHeight="1">
      <c r="A6" s="41" t="inlineStr">
        <is>
          <t>RCP002</t>
        </is>
      </c>
      <c r="B6" s="43" t="inlineStr">
        <is>
          <t>[SAMPLE] Cơm Ức Gà Xào Nấm &amp; Trứng Ốp La</t>
        </is>
      </c>
      <c r="C6" s="43" t="inlineStr">
        <is>
          <t>250g Cơm trắng chín + 150g Ức gà sống xào + 1 quả Trứng gà + 5g Dầu ăn + Rau cải</t>
        </is>
      </c>
      <c r="D6" s="44" t="n">
        <v>680</v>
      </c>
      <c r="E6" s="44" t="n">
        <v>48</v>
      </c>
      <c r="F6" s="44" t="n">
        <v>76</v>
      </c>
      <c r="G6" s="44" t="n">
        <v>19</v>
      </c>
      <c r="H6" s="41" t="n">
        <v>1</v>
      </c>
      <c r="I6" s="48">
        <f>D6/H6</f>
        <v/>
      </c>
      <c r="J6" s="48">
        <f>E6/H6</f>
        <v/>
      </c>
      <c r="K6" s="48">
        <f>F6/H6</f>
        <v/>
      </c>
      <c r="L6" s="48">
        <f>G6/H6</f>
        <v/>
      </c>
      <c r="M6" s="45" t="n">
        <v>32000</v>
      </c>
      <c r="N6" s="41" t="inlineStr">
        <is>
          <t>20 phút</t>
        </is>
      </c>
      <c r="O6" s="43" t="inlineStr">
        <is>
          <t>Xào ức gà với nấm và dầu ăn, ốp la trứng lòng đào ăn kèm cơm nóng. Chia hộp mang theo.</t>
        </is>
      </c>
    </row>
    <row r="7" ht="24" customHeight="1">
      <c r="A7" s="24" t="inlineStr">
        <is>
          <t>RCP003</t>
        </is>
      </c>
      <c r="B7" s="38" t="inlineStr">
        <is>
          <t>[SAMPLE] Bánh Mì Kẹp Trứng &amp; Bơ Đậu Phộng</t>
        </is>
      </c>
      <c r="C7" s="38" t="inlineStr">
        <is>
          <t>2 lát sandwich (60g) + 1 quả Trứng chiên + 20g Bơ đậu phộng</t>
        </is>
      </c>
      <c r="D7" s="39" t="n">
        <v>390</v>
      </c>
      <c r="E7" s="39" t="n">
        <v>17</v>
      </c>
      <c r="F7" s="39" t="n">
        <v>34</v>
      </c>
      <c r="G7" s="39" t="n">
        <v>20</v>
      </c>
      <c r="H7" s="24" t="n">
        <v>1</v>
      </c>
      <c r="I7" s="47">
        <f>D7/H7</f>
        <v/>
      </c>
      <c r="J7" s="47">
        <f>E7/H7</f>
        <v/>
      </c>
      <c r="K7" s="47">
        <f>F7/H7</f>
        <v/>
      </c>
      <c r="L7" s="47">
        <f>G7/H7</f>
        <v/>
      </c>
      <c r="M7" s="40" t="n">
        <v>12000</v>
      </c>
      <c r="N7" s="24" t="inlineStr">
        <is>
          <t>7 phút</t>
        </is>
      </c>
      <c r="O7" s="38" t="inlineStr">
        <is>
          <t>Chiên trứng chín kẹp bánh mì phết bơ đậu phộng. Bữa sáng hoặc bữa phụ cực nhanh.</t>
        </is>
      </c>
    </row>
    <row r="8" ht="24" customHeight="1">
      <c r="A8" s="41" t="inlineStr">
        <is>
          <t>RCP004</t>
        </is>
      </c>
      <c r="B8" s="43" t="inlineStr">
        <is>
          <t>[SAMPLE] Yến Mạch Ngâm Sữa Chua &amp; Chuối (Overnight)</t>
        </is>
      </c>
      <c r="C8" s="43" t="inlineStr">
        <is>
          <t>50g Yến mạch + 1 hộp Sữa chua có đường + 100ml Sữa tươi + 1 quả chuối</t>
        </is>
      </c>
      <c r="D8" s="44" t="n">
        <v>430</v>
      </c>
      <c r="E8" s="44" t="n">
        <v>15</v>
      </c>
      <c r="F8" s="44" t="n">
        <v>73</v>
      </c>
      <c r="G8" s="44" t="n">
        <v>8</v>
      </c>
      <c r="H8" s="41" t="n">
        <v>1</v>
      </c>
      <c r="I8" s="48">
        <f>D8/H8</f>
        <v/>
      </c>
      <c r="J8" s="48">
        <f>E8/H8</f>
        <v/>
      </c>
      <c r="K8" s="48">
        <f>F8/H8</f>
        <v/>
      </c>
      <c r="L8" s="48">
        <f>G8/H8</f>
        <v/>
      </c>
      <c r="M8" s="45" t="n">
        <v>16000</v>
      </c>
      <c r="N8" s="41" t="inlineStr">
        <is>
          <t>5 phút</t>
        </is>
      </c>
      <c r="O8" s="43" t="inlineStr">
        <is>
          <t>Trộn đều các nguyên liệu vào hũ thủy tinh, để tủ lạnh qua đêm. Sáng dậy mở ra ăn ngay.</t>
        </is>
      </c>
    </row>
    <row r="9" ht="24" customHeight="1">
      <c r="A9" s="24" t="inlineStr">
        <is>
          <t>RCP005</t>
        </is>
      </c>
      <c r="B9" s="38" t="inlineStr">
        <is>
          <t>[SAMPLE] Cơm Thịt Heo Nạc Xào Đậu Phụ Cà Chua</t>
        </is>
      </c>
      <c r="C9" s="38" t="inlineStr">
        <is>
          <t>250g Cơm trắng + 100g Thịt heo nạc + 100g Đậu phụ + 1 quả cà chua + 5g Dầu ăn</t>
        </is>
      </c>
      <c r="D9" s="39" t="n">
        <v>610</v>
      </c>
      <c r="E9" s="39" t="n">
        <v>36</v>
      </c>
      <c r="F9" s="39" t="n">
        <v>75</v>
      </c>
      <c r="G9" s="39" t="n">
        <v>17</v>
      </c>
      <c r="H9" s="24" t="n">
        <v>1</v>
      </c>
      <c r="I9" s="47">
        <f>D9/H9</f>
        <v/>
      </c>
      <c r="J9" s="47">
        <f>E9/H9</f>
        <v/>
      </c>
      <c r="K9" s="47">
        <f>F9/H9</f>
        <v/>
      </c>
      <c r="L9" s="47">
        <f>G9/H9</f>
        <v/>
      </c>
      <c r="M9" s="40" t="n">
        <v>26000</v>
      </c>
      <c r="N9" s="24" t="inlineStr">
        <is>
          <t>25 phút</t>
        </is>
      </c>
      <c r="O9" s="38" t="inlineStr">
        <is>
          <t>Xào thịt heo săn lại rồi cho sốt cà chua và đậu phụ om mềm. Vị chua ngọt dễ ăn nhiều cơm.</t>
        </is>
      </c>
    </row>
    <row r="10" ht="24" customHeight="1">
      <c r="A10" s="41" t="inlineStr">
        <is>
          <t>RCP006</t>
        </is>
      </c>
      <c r="B10" s="43" t="inlineStr">
        <is>
          <t>[SAMPLE] Cháo Thịt Bò Bằm &amp; Trứng Gà Hành Hoa</t>
        </is>
      </c>
      <c r="C10" s="43" t="inlineStr">
        <is>
          <t>70g Gạo nấu cháo (~300g cháo) + 80g Thịt bò bằm + 1 quả Trứng gà đánh tan + Hành hoa</t>
        </is>
      </c>
      <c r="D10" s="44" t="n">
        <v>520</v>
      </c>
      <c r="E10" s="44" t="n">
        <v>31</v>
      </c>
      <c r="F10" s="44" t="n">
        <v>58</v>
      </c>
      <c r="G10" s="44" t="n">
        <v>16</v>
      </c>
      <c r="H10" s="41" t="n">
        <v>1</v>
      </c>
      <c r="I10" s="48">
        <f>D10/H10</f>
        <v/>
      </c>
      <c r="J10" s="48">
        <f>E10/H10</f>
        <v/>
      </c>
      <c r="K10" s="48">
        <f>F10/H10</f>
        <v/>
      </c>
      <c r="L10" s="48">
        <f>G10/H10</f>
        <v/>
      </c>
      <c r="M10" s="45" t="n">
        <v>30000</v>
      </c>
      <c r="N10" s="41" t="inlineStr">
        <is>
          <t>30 phút</t>
        </is>
      </c>
      <c r="O10" s="43" t="inlineStr">
        <is>
          <t>Nấu cháo nhừ, cho bò bằm xào thơm và trứng vào khuấy đều. Cực kỳ thích hợp khi đầy bụng, khó tiêu.</t>
        </is>
      </c>
    </row>
  </sheetData>
  <mergeCells count="2">
    <mergeCell ref="A1:O1"/>
    <mergeCell ref="A2:O2"/>
  </mergeCells>
  <pageMargins left="0.75" right="0.75" top="1" bottom="1" header="0.5" footer="0.5"/>
</worksheet>
</file>

<file path=xl/worksheets/sheet6.xml><?xml version="1.0" encoding="utf-8"?>
<worksheet xmlns="http://schemas.openxmlformats.org/spreadsheetml/2006/main">
  <sheetPr>
    <tabColor rgb="0010B981"/>
    <outlinePr summaryBelow="1" summaryRight="1"/>
    <pageSetUpPr/>
  </sheetPr>
  <dimension ref="A1:N45"/>
  <sheetViews>
    <sheetView showGridLines="1"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2" customWidth="1" min="2" max="2"/>
    <col width="14" customWidth="1" min="3" max="3"/>
    <col width="16" customWidth="1" min="4" max="4"/>
    <col width="32" customWidth="1" min="5" max="5"/>
    <col width="30" customWidth="1" min="6" max="6"/>
    <col width="12" customWidth="1" min="7" max="7"/>
    <col width="12" customWidth="1" min="8" max="8"/>
    <col width="12" customWidth="1" min="9" max="9"/>
    <col width="12" customWidth="1" min="10" max="10"/>
    <col width="12" customWidth="1" min="11" max="11"/>
    <col width="14" customWidth="1" min="12" max="12"/>
    <col width="16" customWidth="1" min="13" max="13"/>
    <col width="25" customWidth="1" min="14" max="14"/>
  </cols>
  <sheetData>
    <row r="1" ht="36" customHeight="1">
      <c r="A1" s="1" t="inlineStr">
        <is>
          <t>KẾ HOẠCH THỰC ĐƠN TUẦN MẪU CHO SINH VIÊN (WEEKLY MEAL PLAN TEMPLATE)</t>
        </is>
      </c>
    </row>
    <row r="3" ht="26" customHeight="1">
      <c r="A3" s="36" t="inlineStr">
        <is>
          <t>Tuần</t>
        </is>
      </c>
      <c r="B3" s="36" t="inlineStr">
        <is>
          <t>Thứ</t>
        </is>
      </c>
      <c r="C3" s="36" t="inlineStr">
        <is>
          <t>Thời Gian</t>
        </is>
      </c>
      <c r="D3" s="36" t="inlineStr">
        <is>
          <t>Bữa Ăn</t>
        </is>
      </c>
      <c r="E3" s="36" t="inlineStr">
        <is>
          <t>Tên Món Kế Hoạch</t>
        </is>
      </c>
      <c r="F3" s="36" t="inlineStr">
        <is>
          <t>Thành Phần Thực Phẩm</t>
        </is>
      </c>
      <c r="G3" s="36" t="inlineStr">
        <is>
          <t>Khẩu Phần</t>
        </is>
      </c>
      <c r="H3" s="36" t="inlineStr">
        <is>
          <t>Kcal Dự Kiến</t>
        </is>
      </c>
      <c r="I3" s="36" t="inlineStr">
        <is>
          <t>Protein (g)</t>
        </is>
      </c>
      <c r="J3" s="36" t="inlineStr">
        <is>
          <t>Carb (g)</t>
        </is>
      </c>
      <c r="K3" s="36" t="inlineStr">
        <is>
          <t>Fat (g)</t>
        </is>
      </c>
      <c r="L3" s="36" t="inlineStr">
        <is>
          <t>Chi Phí (VNĐ)</t>
        </is>
      </c>
      <c r="M3" s="36" t="inlineStr">
        <is>
          <t>Trạng Thái</t>
        </is>
      </c>
      <c r="N3" s="36" t="inlineStr">
        <is>
          <t>Phương Án Thay Thế</t>
        </is>
      </c>
    </row>
    <row r="4" ht="22" customHeight="1">
      <c r="A4" s="24" t="n">
        <v>1</v>
      </c>
      <c r="B4" s="24" t="inlineStr">
        <is>
          <t>Thứ Hai</t>
        </is>
      </c>
      <c r="C4" s="24" t="inlineStr">
        <is>
          <t>07:00</t>
        </is>
      </c>
      <c r="D4" s="24" t="inlineStr">
        <is>
          <t>Bữa sáng</t>
        </is>
      </c>
      <c r="E4" s="38" t="inlineStr">
        <is>
          <t>Bánh mì kẹp trứng bơ đậu phộng + Sữa tươi</t>
        </is>
      </c>
      <c r="F4" s="38" t="inlineStr">
        <is>
          <t>2 lát sandwich, 1 trứng, 20g bơ đậu phộng, 1 hộp sữa 220ml</t>
        </is>
      </c>
      <c r="G4" s="24" t="inlineStr">
        <is>
          <t>1 suất</t>
        </is>
      </c>
      <c r="H4" s="39" t="n">
        <v>550</v>
      </c>
      <c r="I4" s="39" t="n">
        <v>23</v>
      </c>
      <c r="J4" s="39" t="n">
        <v>52</v>
      </c>
      <c r="K4" s="39" t="n">
        <v>27</v>
      </c>
      <c r="L4" s="40" t="n">
        <v>16000</v>
      </c>
      <c r="M4" s="24" t="inlineStr">
        <is>
          <t>Tự nấu tại phòng</t>
        </is>
      </c>
      <c r="N4" s="38" t="inlineStr">
        <is>
          <t>Thay bằng Bún bò / Phở bò quán quen</t>
        </is>
      </c>
    </row>
    <row r="5" ht="22" customHeight="1">
      <c r="A5" s="24" t="n">
        <v>1</v>
      </c>
      <c r="B5" s="24" t="inlineStr">
        <is>
          <t>Thứ Hai</t>
        </is>
      </c>
      <c r="C5" s="24" t="inlineStr">
        <is>
          <t>10:00</t>
        </is>
      </c>
      <c r="D5" s="24" t="inlineStr">
        <is>
          <t>Bữa phụ sáng</t>
        </is>
      </c>
      <c r="E5" s="38" t="inlineStr">
        <is>
          <t>Chuối tiêu chín + Sữa chua có đường</t>
        </is>
      </c>
      <c r="F5" s="38" t="inlineStr">
        <is>
          <t>1 quả chuối (100g) + 1 hộp sữa chua (100g)</t>
        </is>
      </c>
      <c r="G5" s="24" t="inlineStr">
        <is>
          <t>1 suất</t>
        </is>
      </c>
      <c r="H5" s="39" t="n">
        <v>190</v>
      </c>
      <c r="I5" s="39" t="n">
        <v>4.3</v>
      </c>
      <c r="J5" s="39" t="n">
        <v>37</v>
      </c>
      <c r="K5" s="39" t="n">
        <v>3.1</v>
      </c>
      <c r="L5" s="40" t="n">
        <v>8000</v>
      </c>
      <c r="M5" s="24" t="inlineStr">
        <is>
          <t>Chuẩn bị sẵn</t>
        </is>
      </c>
      <c r="N5" s="38" t="inlineStr">
        <is>
          <t>Thay bằng 30g Đậu phộng rang</t>
        </is>
      </c>
    </row>
    <row r="6" ht="22" customHeight="1">
      <c r="A6" s="24" t="n">
        <v>1</v>
      </c>
      <c r="B6" s="24" t="inlineStr">
        <is>
          <t>Thứ Hai</t>
        </is>
      </c>
      <c r="C6" s="24" t="inlineStr">
        <is>
          <t>12:30</t>
        </is>
      </c>
      <c r="D6" s="24" t="inlineStr">
        <is>
          <t>Bữa trưa</t>
        </is>
      </c>
      <c r="E6" s="38" t="inlineStr">
        <is>
          <t>Cơm ức gà xào nấm &amp; Trứng ốp la</t>
        </is>
      </c>
      <c r="F6" s="38" t="inlineStr">
        <is>
          <t>250g Cơm trắng, 150g Ức gà, 1 Trứng gà, rau cải</t>
        </is>
      </c>
      <c r="G6" s="24" t="inlineStr">
        <is>
          <t>1 suất</t>
        </is>
      </c>
      <c r="H6" s="39" t="n">
        <v>680</v>
      </c>
      <c r="I6" s="39" t="n">
        <v>48</v>
      </c>
      <c r="J6" s="39" t="n">
        <v>76</v>
      </c>
      <c r="K6" s="39" t="n">
        <v>19</v>
      </c>
      <c r="L6" s="40" t="n">
        <v>32000</v>
      </c>
      <c r="M6" s="24" t="inlineStr">
        <is>
          <t>Meal-prep sẵn</t>
        </is>
      </c>
      <c r="N6" s="38" t="inlineStr">
        <is>
          <t>Thay bằng Cơm thịt heo luộc</t>
        </is>
      </c>
    </row>
    <row r="7" ht="22" customHeight="1">
      <c r="A7" s="24" t="n">
        <v>1</v>
      </c>
      <c r="B7" s="24" t="inlineStr">
        <is>
          <t>Thứ Hai</t>
        </is>
      </c>
      <c r="C7" s="24" t="inlineStr">
        <is>
          <t>16:30</t>
        </is>
      </c>
      <c r="D7" s="24" t="inlineStr">
        <is>
          <t>Bữa phụ chiều</t>
        </is>
      </c>
      <c r="E7" s="38" t="inlineStr">
        <is>
          <t>Sinh Tố Mass Tự Làm (Pre-workout)</t>
        </is>
      </c>
      <c r="F7" s="38" t="inlineStr">
        <is>
          <t>Chuối + Yến mạch + Bơ đậu phộng + Sữa tươi</t>
        </is>
      </c>
      <c r="G7" s="24" t="inlineStr">
        <is>
          <t>1 ly lớn</t>
        </is>
      </c>
      <c r="H7" s="39" t="n">
        <v>625</v>
      </c>
      <c r="I7" s="39" t="n">
        <v>20.5</v>
      </c>
      <c r="J7" s="39" t="n">
        <v>81</v>
      </c>
      <c r="K7" s="39" t="n">
        <v>24</v>
      </c>
      <c r="L7" s="40" t="n">
        <v>19000</v>
      </c>
      <c r="M7" s="24" t="inlineStr">
        <is>
          <t>Xay trước tập</t>
        </is>
      </c>
      <c r="N7" s="38" t="inlineStr">
        <is>
          <t>Uống sữa tươi + 1 bánh bao</t>
        </is>
      </c>
    </row>
    <row r="8" ht="22" customHeight="1">
      <c r="A8" s="24" t="n">
        <v>1</v>
      </c>
      <c r="B8" s="24" t="inlineStr">
        <is>
          <t>Thứ Hai</t>
        </is>
      </c>
      <c r="C8" s="24" t="inlineStr">
        <is>
          <t>19:30</t>
        </is>
      </c>
      <c r="D8" s="24" t="inlineStr">
        <is>
          <t>Bữa tối</t>
        </is>
      </c>
      <c r="E8" s="38" t="inlineStr">
        <is>
          <t>Cơm thịt heo nạc xào đậu phụ cà chua</t>
        </is>
      </c>
      <c r="F8" s="38" t="inlineStr">
        <is>
          <t>250g Cơm trắng, 100g Thịt nạc, 100g Đậu phụ, rau muống</t>
        </is>
      </c>
      <c r="G8" s="24" t="inlineStr">
        <is>
          <t>1 suất</t>
        </is>
      </c>
      <c r="H8" s="39" t="n">
        <v>610</v>
      </c>
      <c r="I8" s="39" t="n">
        <v>36</v>
      </c>
      <c r="J8" s="39" t="n">
        <v>75</v>
      </c>
      <c r="K8" s="39" t="n">
        <v>17</v>
      </c>
      <c r="L8" s="40" t="n">
        <v>26000</v>
      </c>
      <c r="M8" s="24" t="inlineStr">
        <is>
          <t>Nấu tươi buổi tối</t>
        </is>
      </c>
      <c r="N8" s="38" t="inlineStr">
        <is>
          <t>Thay bằng Cá basa chiên sốt cà</t>
        </is>
      </c>
    </row>
    <row r="9" ht="24" customHeight="1">
      <c r="A9" s="49" t="inlineStr">
        <is>
          <t>TỔNG CỘNG DỰ KIẾN (Thứ Hai)</t>
        </is>
      </c>
      <c r="H9" s="50">
        <f>SUM(H4:H8)</f>
        <v/>
      </c>
      <c r="I9" s="50">
        <f>SUM(I4:I8)</f>
        <v/>
      </c>
      <c r="J9" s="50">
        <f>SUM(J4:J8)</f>
        <v/>
      </c>
      <c r="K9" s="50">
        <f>SUM(K4:K8)</f>
        <v/>
      </c>
      <c r="L9" s="51">
        <f>SUM(L4:L8)</f>
        <v/>
      </c>
      <c r="M9" s="52" t="inlineStr">
        <is>
          <t>ĐẠT MỤC TIÊU</t>
        </is>
      </c>
      <c r="N9" s="53" t="inlineStr">
        <is>
          <t>Năng lượng chuẩn ~2.650 kcal</t>
        </is>
      </c>
    </row>
    <row r="10" ht="22" customHeight="1">
      <c r="A10" s="24" t="n">
        <v>1</v>
      </c>
      <c r="B10" s="24" t="inlineStr">
        <is>
          <t>Thứ Ba</t>
        </is>
      </c>
      <c r="C10" s="24" t="inlineStr">
        <is>
          <t>07:00</t>
        </is>
      </c>
      <c r="D10" s="24" t="inlineStr">
        <is>
          <t>Bữa sáng</t>
        </is>
      </c>
      <c r="E10" s="38" t="inlineStr">
        <is>
          <t>Bánh mì kẹp trứng bơ đậu phộng + Sữa tươi</t>
        </is>
      </c>
      <c r="F10" s="38" t="inlineStr">
        <is>
          <t>2 lát sandwich, 1 trứng, 20g bơ đậu phộng, 1 hộp sữa 220ml</t>
        </is>
      </c>
      <c r="G10" s="24" t="inlineStr">
        <is>
          <t>1 suất</t>
        </is>
      </c>
      <c r="H10" s="39" t="n">
        <v>550</v>
      </c>
      <c r="I10" s="39" t="n">
        <v>23</v>
      </c>
      <c r="J10" s="39" t="n">
        <v>52</v>
      </c>
      <c r="K10" s="39" t="n">
        <v>27</v>
      </c>
      <c r="L10" s="40" t="n">
        <v>16000</v>
      </c>
      <c r="M10" s="24" t="inlineStr">
        <is>
          <t>Tự nấu tại phòng</t>
        </is>
      </c>
      <c r="N10" s="38" t="inlineStr">
        <is>
          <t>Thay bằng Bún bò / Phở bò quán quen</t>
        </is>
      </c>
    </row>
    <row r="11" ht="22" customHeight="1">
      <c r="A11" s="24" t="n">
        <v>1</v>
      </c>
      <c r="B11" s="24" t="inlineStr">
        <is>
          <t>Thứ Ba</t>
        </is>
      </c>
      <c r="C11" s="24" t="inlineStr">
        <is>
          <t>10:00</t>
        </is>
      </c>
      <c r="D11" s="24" t="inlineStr">
        <is>
          <t>Bữa phụ sáng</t>
        </is>
      </c>
      <c r="E11" s="38" t="inlineStr">
        <is>
          <t>Chuối tiêu chín + Sữa chua có đường</t>
        </is>
      </c>
      <c r="F11" s="38" t="inlineStr">
        <is>
          <t>1 quả chuối (100g) + 1 hộp sữa chua (100g)</t>
        </is>
      </c>
      <c r="G11" s="24" t="inlineStr">
        <is>
          <t>1 suất</t>
        </is>
      </c>
      <c r="H11" s="39" t="n">
        <v>190</v>
      </c>
      <c r="I11" s="39" t="n">
        <v>4.3</v>
      </c>
      <c r="J11" s="39" t="n">
        <v>37</v>
      </c>
      <c r="K11" s="39" t="n">
        <v>3.1</v>
      </c>
      <c r="L11" s="40" t="n">
        <v>8000</v>
      </c>
      <c r="M11" s="24" t="inlineStr">
        <is>
          <t>Chuẩn bị sẵn</t>
        </is>
      </c>
      <c r="N11" s="38" t="inlineStr">
        <is>
          <t>Thay bằng 30g Đậu phộng rang</t>
        </is>
      </c>
    </row>
    <row r="12" ht="22" customHeight="1">
      <c r="A12" s="24" t="n">
        <v>1</v>
      </c>
      <c r="B12" s="24" t="inlineStr">
        <is>
          <t>Thứ Ba</t>
        </is>
      </c>
      <c r="C12" s="24" t="inlineStr">
        <is>
          <t>12:30</t>
        </is>
      </c>
      <c r="D12" s="24" t="inlineStr">
        <is>
          <t>Bữa trưa</t>
        </is>
      </c>
      <c r="E12" s="38" t="inlineStr">
        <is>
          <t>Cơm ức gà xào nấm &amp; Trứng ốp la</t>
        </is>
      </c>
      <c r="F12" s="38" t="inlineStr">
        <is>
          <t>250g Cơm trắng, 150g Ức gà, 1 Trứng gà, rau cải</t>
        </is>
      </c>
      <c r="G12" s="24" t="inlineStr">
        <is>
          <t>1 suất</t>
        </is>
      </c>
      <c r="H12" s="39" t="n">
        <v>680</v>
      </c>
      <c r="I12" s="39" t="n">
        <v>48</v>
      </c>
      <c r="J12" s="39" t="n">
        <v>76</v>
      </c>
      <c r="K12" s="39" t="n">
        <v>19</v>
      </c>
      <c r="L12" s="40" t="n">
        <v>32000</v>
      </c>
      <c r="M12" s="24" t="inlineStr">
        <is>
          <t>Meal-prep sẵn</t>
        </is>
      </c>
      <c r="N12" s="38" t="inlineStr">
        <is>
          <t>Thay bằng Cơm thịt heo luộc</t>
        </is>
      </c>
    </row>
    <row r="13" ht="22" customHeight="1">
      <c r="A13" s="24" t="n">
        <v>1</v>
      </c>
      <c r="B13" s="24" t="inlineStr">
        <is>
          <t>Thứ Ba</t>
        </is>
      </c>
      <c r="C13" s="24" t="inlineStr">
        <is>
          <t>16:30</t>
        </is>
      </c>
      <c r="D13" s="24" t="inlineStr">
        <is>
          <t>Bữa phụ chiều</t>
        </is>
      </c>
      <c r="E13" s="38" t="inlineStr">
        <is>
          <t>Sinh Tố Mass Tự Làm (Pre-workout)</t>
        </is>
      </c>
      <c r="F13" s="38" t="inlineStr">
        <is>
          <t>Chuối + Yến mạch + Bơ đậu phộng + Sữa tươi</t>
        </is>
      </c>
      <c r="G13" s="24" t="inlineStr">
        <is>
          <t>1 ly lớn</t>
        </is>
      </c>
      <c r="H13" s="39" t="n">
        <v>625</v>
      </c>
      <c r="I13" s="39" t="n">
        <v>20.5</v>
      </c>
      <c r="J13" s="39" t="n">
        <v>81</v>
      </c>
      <c r="K13" s="39" t="n">
        <v>24</v>
      </c>
      <c r="L13" s="40" t="n">
        <v>19000</v>
      </c>
      <c r="M13" s="24" t="inlineStr">
        <is>
          <t>Xay trước tập</t>
        </is>
      </c>
      <c r="N13" s="38" t="inlineStr">
        <is>
          <t>Uống sữa tươi + 1 bánh bao</t>
        </is>
      </c>
    </row>
    <row r="14" ht="22" customHeight="1">
      <c r="A14" s="24" t="n">
        <v>1</v>
      </c>
      <c r="B14" s="24" t="inlineStr">
        <is>
          <t>Thứ Ba</t>
        </is>
      </c>
      <c r="C14" s="24" t="inlineStr">
        <is>
          <t>19:30</t>
        </is>
      </c>
      <c r="D14" s="24" t="inlineStr">
        <is>
          <t>Bữa tối</t>
        </is>
      </c>
      <c r="E14" s="38" t="inlineStr">
        <is>
          <t>Cơm thịt heo nạc xào đậu phụ cà chua</t>
        </is>
      </c>
      <c r="F14" s="38" t="inlineStr">
        <is>
          <t>250g Cơm trắng, 100g Thịt nạc, 100g Đậu phụ, rau muống</t>
        </is>
      </c>
      <c r="G14" s="24" t="inlineStr">
        <is>
          <t>1 suất</t>
        </is>
      </c>
      <c r="H14" s="39" t="n">
        <v>610</v>
      </c>
      <c r="I14" s="39" t="n">
        <v>36</v>
      </c>
      <c r="J14" s="39" t="n">
        <v>75</v>
      </c>
      <c r="K14" s="39" t="n">
        <v>17</v>
      </c>
      <c r="L14" s="40" t="n">
        <v>26000</v>
      </c>
      <c r="M14" s="24" t="inlineStr">
        <is>
          <t>Nấu tươi buổi tối</t>
        </is>
      </c>
      <c r="N14" s="38" t="inlineStr">
        <is>
          <t>Thay bằng Cá basa chiên sốt cà</t>
        </is>
      </c>
    </row>
    <row r="15" ht="24" customHeight="1">
      <c r="A15" s="49" t="inlineStr">
        <is>
          <t>TỔNG CỘNG DỰ KIẾN (Thứ Ba)</t>
        </is>
      </c>
      <c r="H15" s="50">
        <f>SUM(H10:H14)</f>
        <v/>
      </c>
      <c r="I15" s="50">
        <f>SUM(I10:I14)</f>
        <v/>
      </c>
      <c r="J15" s="50">
        <f>SUM(J10:J14)</f>
        <v/>
      </c>
      <c r="K15" s="50">
        <f>SUM(K10:K14)</f>
        <v/>
      </c>
      <c r="L15" s="51">
        <f>SUM(L10:L14)</f>
        <v/>
      </c>
      <c r="M15" s="52" t="inlineStr">
        <is>
          <t>ĐẠT MỤC TIÊU</t>
        </is>
      </c>
      <c r="N15" s="53" t="inlineStr">
        <is>
          <t>Năng lượng chuẩn ~2.650 kcal</t>
        </is>
      </c>
    </row>
    <row r="16" ht="22" customHeight="1">
      <c r="A16" s="24" t="n">
        <v>1</v>
      </c>
      <c r="B16" s="24" t="inlineStr">
        <is>
          <t>Thứ Tư</t>
        </is>
      </c>
      <c r="C16" s="24" t="inlineStr">
        <is>
          <t>07:00</t>
        </is>
      </c>
      <c r="D16" s="24" t="inlineStr">
        <is>
          <t>Bữa sáng</t>
        </is>
      </c>
      <c r="E16" s="38" t="inlineStr">
        <is>
          <t>Bánh mì kẹp trứng bơ đậu phộng + Sữa tươi</t>
        </is>
      </c>
      <c r="F16" s="38" t="inlineStr">
        <is>
          <t>2 lát sandwich, 1 trứng, 20g bơ đậu phộng, 1 hộp sữa 220ml</t>
        </is>
      </c>
      <c r="G16" s="24" t="inlineStr">
        <is>
          <t>1 suất</t>
        </is>
      </c>
      <c r="H16" s="39" t="n">
        <v>550</v>
      </c>
      <c r="I16" s="39" t="n">
        <v>23</v>
      </c>
      <c r="J16" s="39" t="n">
        <v>52</v>
      </c>
      <c r="K16" s="39" t="n">
        <v>27</v>
      </c>
      <c r="L16" s="40" t="n">
        <v>16000</v>
      </c>
      <c r="M16" s="24" t="inlineStr">
        <is>
          <t>Tự nấu tại phòng</t>
        </is>
      </c>
      <c r="N16" s="38" t="inlineStr">
        <is>
          <t>Thay bằng Bún bò / Phở bò quán quen</t>
        </is>
      </c>
    </row>
    <row r="17" ht="22" customHeight="1">
      <c r="A17" s="24" t="n">
        <v>1</v>
      </c>
      <c r="B17" s="24" t="inlineStr">
        <is>
          <t>Thứ Tư</t>
        </is>
      </c>
      <c r="C17" s="24" t="inlineStr">
        <is>
          <t>10:00</t>
        </is>
      </c>
      <c r="D17" s="24" t="inlineStr">
        <is>
          <t>Bữa phụ sáng</t>
        </is>
      </c>
      <c r="E17" s="38" t="inlineStr">
        <is>
          <t>Chuối tiêu chín + Sữa chua có đường</t>
        </is>
      </c>
      <c r="F17" s="38" t="inlineStr">
        <is>
          <t>1 quả chuối (100g) + 1 hộp sữa chua (100g)</t>
        </is>
      </c>
      <c r="G17" s="24" t="inlineStr">
        <is>
          <t>1 suất</t>
        </is>
      </c>
      <c r="H17" s="39" t="n">
        <v>190</v>
      </c>
      <c r="I17" s="39" t="n">
        <v>4.3</v>
      </c>
      <c r="J17" s="39" t="n">
        <v>37</v>
      </c>
      <c r="K17" s="39" t="n">
        <v>3.1</v>
      </c>
      <c r="L17" s="40" t="n">
        <v>8000</v>
      </c>
      <c r="M17" s="24" t="inlineStr">
        <is>
          <t>Chuẩn bị sẵn</t>
        </is>
      </c>
      <c r="N17" s="38" t="inlineStr">
        <is>
          <t>Thay bằng 30g Đậu phộng rang</t>
        </is>
      </c>
    </row>
    <row r="18" ht="22" customHeight="1">
      <c r="A18" s="24" t="n">
        <v>1</v>
      </c>
      <c r="B18" s="24" t="inlineStr">
        <is>
          <t>Thứ Tư</t>
        </is>
      </c>
      <c r="C18" s="24" t="inlineStr">
        <is>
          <t>12:30</t>
        </is>
      </c>
      <c r="D18" s="24" t="inlineStr">
        <is>
          <t>Bữa trưa</t>
        </is>
      </c>
      <c r="E18" s="38" t="inlineStr">
        <is>
          <t>Cơm ức gà xào nấm &amp; Trứng ốp la</t>
        </is>
      </c>
      <c r="F18" s="38" t="inlineStr">
        <is>
          <t>250g Cơm trắng, 150g Ức gà, 1 Trứng gà, rau cải</t>
        </is>
      </c>
      <c r="G18" s="24" t="inlineStr">
        <is>
          <t>1 suất</t>
        </is>
      </c>
      <c r="H18" s="39" t="n">
        <v>680</v>
      </c>
      <c r="I18" s="39" t="n">
        <v>48</v>
      </c>
      <c r="J18" s="39" t="n">
        <v>76</v>
      </c>
      <c r="K18" s="39" t="n">
        <v>19</v>
      </c>
      <c r="L18" s="40" t="n">
        <v>32000</v>
      </c>
      <c r="M18" s="24" t="inlineStr">
        <is>
          <t>Meal-prep sẵn</t>
        </is>
      </c>
      <c r="N18" s="38" t="inlineStr">
        <is>
          <t>Thay bằng Cơm thịt heo luộc</t>
        </is>
      </c>
    </row>
    <row r="19" ht="22" customHeight="1">
      <c r="A19" s="24" t="n">
        <v>1</v>
      </c>
      <c r="B19" s="24" t="inlineStr">
        <is>
          <t>Thứ Tư</t>
        </is>
      </c>
      <c r="C19" s="24" t="inlineStr">
        <is>
          <t>16:30</t>
        </is>
      </c>
      <c r="D19" s="24" t="inlineStr">
        <is>
          <t>Bữa phụ chiều</t>
        </is>
      </c>
      <c r="E19" s="38" t="inlineStr">
        <is>
          <t>Sinh Tố Mass Tự Làm (Pre-workout)</t>
        </is>
      </c>
      <c r="F19" s="38" t="inlineStr">
        <is>
          <t>Chuối + Yến mạch + Bơ đậu phộng + Sữa tươi</t>
        </is>
      </c>
      <c r="G19" s="24" t="inlineStr">
        <is>
          <t>1 ly lớn</t>
        </is>
      </c>
      <c r="H19" s="39" t="n">
        <v>625</v>
      </c>
      <c r="I19" s="39" t="n">
        <v>20.5</v>
      </c>
      <c r="J19" s="39" t="n">
        <v>81</v>
      </c>
      <c r="K19" s="39" t="n">
        <v>24</v>
      </c>
      <c r="L19" s="40" t="n">
        <v>19000</v>
      </c>
      <c r="M19" s="24" t="inlineStr">
        <is>
          <t>Xay trước tập</t>
        </is>
      </c>
      <c r="N19" s="38" t="inlineStr">
        <is>
          <t>Uống sữa tươi + 1 bánh bao</t>
        </is>
      </c>
    </row>
    <row r="20" ht="22" customHeight="1">
      <c r="A20" s="24" t="n">
        <v>1</v>
      </c>
      <c r="B20" s="24" t="inlineStr">
        <is>
          <t>Thứ Tư</t>
        </is>
      </c>
      <c r="C20" s="24" t="inlineStr">
        <is>
          <t>19:30</t>
        </is>
      </c>
      <c r="D20" s="24" t="inlineStr">
        <is>
          <t>Bữa tối</t>
        </is>
      </c>
      <c r="E20" s="38" t="inlineStr">
        <is>
          <t>Cơm thịt heo nạc xào đậu phụ cà chua</t>
        </is>
      </c>
      <c r="F20" s="38" t="inlineStr">
        <is>
          <t>250g Cơm trắng, 100g Thịt nạc, 100g Đậu phụ, rau muống</t>
        </is>
      </c>
      <c r="G20" s="24" t="inlineStr">
        <is>
          <t>1 suất</t>
        </is>
      </c>
      <c r="H20" s="39" t="n">
        <v>610</v>
      </c>
      <c r="I20" s="39" t="n">
        <v>36</v>
      </c>
      <c r="J20" s="39" t="n">
        <v>75</v>
      </c>
      <c r="K20" s="39" t="n">
        <v>17</v>
      </c>
      <c r="L20" s="40" t="n">
        <v>26000</v>
      </c>
      <c r="M20" s="24" t="inlineStr">
        <is>
          <t>Nấu tươi buổi tối</t>
        </is>
      </c>
      <c r="N20" s="38" t="inlineStr">
        <is>
          <t>Thay bằng Cá basa chiên sốt cà</t>
        </is>
      </c>
    </row>
    <row r="21" ht="24" customHeight="1">
      <c r="A21" s="49" t="inlineStr">
        <is>
          <t>TỔNG CỘNG DỰ KIẾN (Thứ Tư)</t>
        </is>
      </c>
      <c r="H21" s="50">
        <f>SUM(H16:H20)</f>
        <v/>
      </c>
      <c r="I21" s="50">
        <f>SUM(I16:I20)</f>
        <v/>
      </c>
      <c r="J21" s="50">
        <f>SUM(J16:J20)</f>
        <v/>
      </c>
      <c r="K21" s="50">
        <f>SUM(K16:K20)</f>
        <v/>
      </c>
      <c r="L21" s="51">
        <f>SUM(L16:L20)</f>
        <v/>
      </c>
      <c r="M21" s="52" t="inlineStr">
        <is>
          <t>ĐẠT MỤC TIÊU</t>
        </is>
      </c>
      <c r="N21" s="53" t="inlineStr">
        <is>
          <t>Năng lượng chuẩn ~2.650 kcal</t>
        </is>
      </c>
    </row>
    <row r="22" ht="22" customHeight="1">
      <c r="A22" s="24" t="n">
        <v>1</v>
      </c>
      <c r="B22" s="24" t="inlineStr">
        <is>
          <t>Thứ Năm</t>
        </is>
      </c>
      <c r="C22" s="24" t="inlineStr">
        <is>
          <t>07:00</t>
        </is>
      </c>
      <c r="D22" s="24" t="inlineStr">
        <is>
          <t>Bữa sáng</t>
        </is>
      </c>
      <c r="E22" s="38" t="inlineStr">
        <is>
          <t>Bánh mì kẹp trứng bơ đậu phộng + Sữa tươi</t>
        </is>
      </c>
      <c r="F22" s="38" t="inlineStr">
        <is>
          <t>2 lát sandwich, 1 trứng, 20g bơ đậu phộng, 1 hộp sữa 220ml</t>
        </is>
      </c>
      <c r="G22" s="24" t="inlineStr">
        <is>
          <t>1 suất</t>
        </is>
      </c>
      <c r="H22" s="39" t="n">
        <v>550</v>
      </c>
      <c r="I22" s="39" t="n">
        <v>23</v>
      </c>
      <c r="J22" s="39" t="n">
        <v>52</v>
      </c>
      <c r="K22" s="39" t="n">
        <v>27</v>
      </c>
      <c r="L22" s="40" t="n">
        <v>16000</v>
      </c>
      <c r="M22" s="24" t="inlineStr">
        <is>
          <t>Tự nấu tại phòng</t>
        </is>
      </c>
      <c r="N22" s="38" t="inlineStr">
        <is>
          <t>Thay bằng Bún bò / Phở bò quán quen</t>
        </is>
      </c>
    </row>
    <row r="23" ht="22" customHeight="1">
      <c r="A23" s="24" t="n">
        <v>1</v>
      </c>
      <c r="B23" s="24" t="inlineStr">
        <is>
          <t>Thứ Năm</t>
        </is>
      </c>
      <c r="C23" s="24" t="inlineStr">
        <is>
          <t>10:00</t>
        </is>
      </c>
      <c r="D23" s="24" t="inlineStr">
        <is>
          <t>Bữa phụ sáng</t>
        </is>
      </c>
      <c r="E23" s="38" t="inlineStr">
        <is>
          <t>Chuối tiêu chín + Sữa chua có đường</t>
        </is>
      </c>
      <c r="F23" s="38" t="inlineStr">
        <is>
          <t>1 quả chuối (100g) + 1 hộp sữa chua (100g)</t>
        </is>
      </c>
      <c r="G23" s="24" t="inlineStr">
        <is>
          <t>1 suất</t>
        </is>
      </c>
      <c r="H23" s="39" t="n">
        <v>190</v>
      </c>
      <c r="I23" s="39" t="n">
        <v>4.3</v>
      </c>
      <c r="J23" s="39" t="n">
        <v>37</v>
      </c>
      <c r="K23" s="39" t="n">
        <v>3.1</v>
      </c>
      <c r="L23" s="40" t="n">
        <v>8000</v>
      </c>
      <c r="M23" s="24" t="inlineStr">
        <is>
          <t>Chuẩn bị sẵn</t>
        </is>
      </c>
      <c r="N23" s="38" t="inlineStr">
        <is>
          <t>Thay bằng 30g Đậu phộng rang</t>
        </is>
      </c>
    </row>
    <row r="24" ht="22" customHeight="1">
      <c r="A24" s="24" t="n">
        <v>1</v>
      </c>
      <c r="B24" s="24" t="inlineStr">
        <is>
          <t>Thứ Năm</t>
        </is>
      </c>
      <c r="C24" s="24" t="inlineStr">
        <is>
          <t>12:30</t>
        </is>
      </c>
      <c r="D24" s="24" t="inlineStr">
        <is>
          <t>Bữa trưa</t>
        </is>
      </c>
      <c r="E24" s="38" t="inlineStr">
        <is>
          <t>Cơm ức gà xào nấm &amp; Trứng ốp la</t>
        </is>
      </c>
      <c r="F24" s="38" t="inlineStr">
        <is>
          <t>250g Cơm trắng, 150g Ức gà, 1 Trứng gà, rau cải</t>
        </is>
      </c>
      <c r="G24" s="24" t="inlineStr">
        <is>
          <t>1 suất</t>
        </is>
      </c>
      <c r="H24" s="39" t="n">
        <v>680</v>
      </c>
      <c r="I24" s="39" t="n">
        <v>48</v>
      </c>
      <c r="J24" s="39" t="n">
        <v>76</v>
      </c>
      <c r="K24" s="39" t="n">
        <v>19</v>
      </c>
      <c r="L24" s="40" t="n">
        <v>32000</v>
      </c>
      <c r="M24" s="24" t="inlineStr">
        <is>
          <t>Meal-prep sẵn</t>
        </is>
      </c>
      <c r="N24" s="38" t="inlineStr">
        <is>
          <t>Thay bằng Cơm thịt heo luộc</t>
        </is>
      </c>
    </row>
    <row r="25" ht="22" customHeight="1">
      <c r="A25" s="24" t="n">
        <v>1</v>
      </c>
      <c r="B25" s="24" t="inlineStr">
        <is>
          <t>Thứ Năm</t>
        </is>
      </c>
      <c r="C25" s="24" t="inlineStr">
        <is>
          <t>16:30</t>
        </is>
      </c>
      <c r="D25" s="24" t="inlineStr">
        <is>
          <t>Bữa phụ chiều</t>
        </is>
      </c>
      <c r="E25" s="38" t="inlineStr">
        <is>
          <t>Sinh Tố Mass Tự Làm (Pre-workout)</t>
        </is>
      </c>
      <c r="F25" s="38" t="inlineStr">
        <is>
          <t>Chuối + Yến mạch + Bơ đậu phộng + Sữa tươi</t>
        </is>
      </c>
      <c r="G25" s="24" t="inlineStr">
        <is>
          <t>1 ly lớn</t>
        </is>
      </c>
      <c r="H25" s="39" t="n">
        <v>625</v>
      </c>
      <c r="I25" s="39" t="n">
        <v>20.5</v>
      </c>
      <c r="J25" s="39" t="n">
        <v>81</v>
      </c>
      <c r="K25" s="39" t="n">
        <v>24</v>
      </c>
      <c r="L25" s="40" t="n">
        <v>19000</v>
      </c>
      <c r="M25" s="24" t="inlineStr">
        <is>
          <t>Xay trước tập</t>
        </is>
      </c>
      <c r="N25" s="38" t="inlineStr">
        <is>
          <t>Uống sữa tươi + 1 bánh bao</t>
        </is>
      </c>
    </row>
    <row r="26" ht="22" customHeight="1">
      <c r="A26" s="24" t="n">
        <v>1</v>
      </c>
      <c r="B26" s="24" t="inlineStr">
        <is>
          <t>Thứ Năm</t>
        </is>
      </c>
      <c r="C26" s="24" t="inlineStr">
        <is>
          <t>19:30</t>
        </is>
      </c>
      <c r="D26" s="24" t="inlineStr">
        <is>
          <t>Bữa tối</t>
        </is>
      </c>
      <c r="E26" s="38" t="inlineStr">
        <is>
          <t>Cơm thịt heo nạc xào đậu phụ cà chua</t>
        </is>
      </c>
      <c r="F26" s="38" t="inlineStr">
        <is>
          <t>250g Cơm trắng, 100g Thịt nạc, 100g Đậu phụ, rau muống</t>
        </is>
      </c>
      <c r="G26" s="24" t="inlineStr">
        <is>
          <t>1 suất</t>
        </is>
      </c>
      <c r="H26" s="39" t="n">
        <v>610</v>
      </c>
      <c r="I26" s="39" t="n">
        <v>36</v>
      </c>
      <c r="J26" s="39" t="n">
        <v>75</v>
      </c>
      <c r="K26" s="39" t="n">
        <v>17</v>
      </c>
      <c r="L26" s="40" t="n">
        <v>26000</v>
      </c>
      <c r="M26" s="24" t="inlineStr">
        <is>
          <t>Nấu tươi buổi tối</t>
        </is>
      </c>
      <c r="N26" s="38" t="inlineStr">
        <is>
          <t>Thay bằng Cá basa chiên sốt cà</t>
        </is>
      </c>
    </row>
    <row r="27" ht="24" customHeight="1">
      <c r="A27" s="49" t="inlineStr">
        <is>
          <t>TỔNG CỘNG DỰ KIẾN (Thứ Năm)</t>
        </is>
      </c>
      <c r="H27" s="50">
        <f>SUM(H22:H26)</f>
        <v/>
      </c>
      <c r="I27" s="50">
        <f>SUM(I22:I26)</f>
        <v/>
      </c>
      <c r="J27" s="50">
        <f>SUM(J22:J26)</f>
        <v/>
      </c>
      <c r="K27" s="50">
        <f>SUM(K22:K26)</f>
        <v/>
      </c>
      <c r="L27" s="51">
        <f>SUM(L22:L26)</f>
        <v/>
      </c>
      <c r="M27" s="52" t="inlineStr">
        <is>
          <t>ĐẠT MỤC TIÊU</t>
        </is>
      </c>
      <c r="N27" s="53" t="inlineStr">
        <is>
          <t>Năng lượng chuẩn ~2.650 kcal</t>
        </is>
      </c>
    </row>
    <row r="28" ht="22" customHeight="1">
      <c r="A28" s="24" t="n">
        <v>1</v>
      </c>
      <c r="B28" s="24" t="inlineStr">
        <is>
          <t>Thứ Sáu</t>
        </is>
      </c>
      <c r="C28" s="24" t="inlineStr">
        <is>
          <t>07:00</t>
        </is>
      </c>
      <c r="D28" s="24" t="inlineStr">
        <is>
          <t>Bữa sáng</t>
        </is>
      </c>
      <c r="E28" s="38" t="inlineStr">
        <is>
          <t>Bánh mì kẹp trứng bơ đậu phộng + Sữa tươi</t>
        </is>
      </c>
      <c r="F28" s="38" t="inlineStr">
        <is>
          <t>2 lát sandwich, 1 trứng, 20g bơ đậu phộng, 1 hộp sữa 220ml</t>
        </is>
      </c>
      <c r="G28" s="24" t="inlineStr">
        <is>
          <t>1 suất</t>
        </is>
      </c>
      <c r="H28" s="39" t="n">
        <v>550</v>
      </c>
      <c r="I28" s="39" t="n">
        <v>23</v>
      </c>
      <c r="J28" s="39" t="n">
        <v>52</v>
      </c>
      <c r="K28" s="39" t="n">
        <v>27</v>
      </c>
      <c r="L28" s="40" t="n">
        <v>16000</v>
      </c>
      <c r="M28" s="24" t="inlineStr">
        <is>
          <t>Tự nấu tại phòng</t>
        </is>
      </c>
      <c r="N28" s="38" t="inlineStr">
        <is>
          <t>Thay bằng Bún bò / Phở bò quán quen</t>
        </is>
      </c>
    </row>
    <row r="29" ht="22" customHeight="1">
      <c r="A29" s="24" t="n">
        <v>1</v>
      </c>
      <c r="B29" s="24" t="inlineStr">
        <is>
          <t>Thứ Sáu</t>
        </is>
      </c>
      <c r="C29" s="24" t="inlineStr">
        <is>
          <t>10:00</t>
        </is>
      </c>
      <c r="D29" s="24" t="inlineStr">
        <is>
          <t>Bữa phụ sáng</t>
        </is>
      </c>
      <c r="E29" s="38" t="inlineStr">
        <is>
          <t>Chuối tiêu chín + Sữa chua có đường</t>
        </is>
      </c>
      <c r="F29" s="38" t="inlineStr">
        <is>
          <t>1 quả chuối (100g) + 1 hộp sữa chua (100g)</t>
        </is>
      </c>
      <c r="G29" s="24" t="inlineStr">
        <is>
          <t>1 suất</t>
        </is>
      </c>
      <c r="H29" s="39" t="n">
        <v>190</v>
      </c>
      <c r="I29" s="39" t="n">
        <v>4.3</v>
      </c>
      <c r="J29" s="39" t="n">
        <v>37</v>
      </c>
      <c r="K29" s="39" t="n">
        <v>3.1</v>
      </c>
      <c r="L29" s="40" t="n">
        <v>8000</v>
      </c>
      <c r="M29" s="24" t="inlineStr">
        <is>
          <t>Chuẩn bị sẵn</t>
        </is>
      </c>
      <c r="N29" s="38" t="inlineStr">
        <is>
          <t>Thay bằng 30g Đậu phộng rang</t>
        </is>
      </c>
    </row>
    <row r="30" ht="22" customHeight="1">
      <c r="A30" s="24" t="n">
        <v>1</v>
      </c>
      <c r="B30" s="24" t="inlineStr">
        <is>
          <t>Thứ Sáu</t>
        </is>
      </c>
      <c r="C30" s="24" t="inlineStr">
        <is>
          <t>12:30</t>
        </is>
      </c>
      <c r="D30" s="24" t="inlineStr">
        <is>
          <t>Bữa trưa</t>
        </is>
      </c>
      <c r="E30" s="38" t="inlineStr">
        <is>
          <t>Cơm ức gà xào nấm &amp; Trứng ốp la</t>
        </is>
      </c>
      <c r="F30" s="38" t="inlineStr">
        <is>
          <t>250g Cơm trắng, 150g Ức gà, 1 Trứng gà, rau cải</t>
        </is>
      </c>
      <c r="G30" s="24" t="inlineStr">
        <is>
          <t>1 suất</t>
        </is>
      </c>
      <c r="H30" s="39" t="n">
        <v>680</v>
      </c>
      <c r="I30" s="39" t="n">
        <v>48</v>
      </c>
      <c r="J30" s="39" t="n">
        <v>76</v>
      </c>
      <c r="K30" s="39" t="n">
        <v>19</v>
      </c>
      <c r="L30" s="40" t="n">
        <v>32000</v>
      </c>
      <c r="M30" s="24" t="inlineStr">
        <is>
          <t>Meal-prep sẵn</t>
        </is>
      </c>
      <c r="N30" s="38" t="inlineStr">
        <is>
          <t>Thay bằng Cơm thịt heo luộc</t>
        </is>
      </c>
    </row>
    <row r="31" ht="22" customHeight="1">
      <c r="A31" s="24" t="n">
        <v>1</v>
      </c>
      <c r="B31" s="24" t="inlineStr">
        <is>
          <t>Thứ Sáu</t>
        </is>
      </c>
      <c r="C31" s="24" t="inlineStr">
        <is>
          <t>16:30</t>
        </is>
      </c>
      <c r="D31" s="24" t="inlineStr">
        <is>
          <t>Bữa phụ chiều</t>
        </is>
      </c>
      <c r="E31" s="38" t="inlineStr">
        <is>
          <t>Sinh Tố Mass Tự Làm (Pre-workout)</t>
        </is>
      </c>
      <c r="F31" s="38" t="inlineStr">
        <is>
          <t>Chuối + Yến mạch + Bơ đậu phộng + Sữa tươi</t>
        </is>
      </c>
      <c r="G31" s="24" t="inlineStr">
        <is>
          <t>1 ly lớn</t>
        </is>
      </c>
      <c r="H31" s="39" t="n">
        <v>625</v>
      </c>
      <c r="I31" s="39" t="n">
        <v>20.5</v>
      </c>
      <c r="J31" s="39" t="n">
        <v>81</v>
      </c>
      <c r="K31" s="39" t="n">
        <v>24</v>
      </c>
      <c r="L31" s="40" t="n">
        <v>19000</v>
      </c>
      <c r="M31" s="24" t="inlineStr">
        <is>
          <t>Xay trước tập</t>
        </is>
      </c>
      <c r="N31" s="38" t="inlineStr">
        <is>
          <t>Uống sữa tươi + 1 bánh bao</t>
        </is>
      </c>
    </row>
    <row r="32" ht="22" customHeight="1">
      <c r="A32" s="24" t="n">
        <v>1</v>
      </c>
      <c r="B32" s="24" t="inlineStr">
        <is>
          <t>Thứ Sáu</t>
        </is>
      </c>
      <c r="C32" s="24" t="inlineStr">
        <is>
          <t>19:30</t>
        </is>
      </c>
      <c r="D32" s="24" t="inlineStr">
        <is>
          <t>Bữa tối</t>
        </is>
      </c>
      <c r="E32" s="38" t="inlineStr">
        <is>
          <t>Cơm thịt heo nạc xào đậu phụ cà chua</t>
        </is>
      </c>
      <c r="F32" s="38" t="inlineStr">
        <is>
          <t>250g Cơm trắng, 100g Thịt nạc, 100g Đậu phụ, rau muống</t>
        </is>
      </c>
      <c r="G32" s="24" t="inlineStr">
        <is>
          <t>1 suất</t>
        </is>
      </c>
      <c r="H32" s="39" t="n">
        <v>610</v>
      </c>
      <c r="I32" s="39" t="n">
        <v>36</v>
      </c>
      <c r="J32" s="39" t="n">
        <v>75</v>
      </c>
      <c r="K32" s="39" t="n">
        <v>17</v>
      </c>
      <c r="L32" s="40" t="n">
        <v>26000</v>
      </c>
      <c r="M32" s="24" t="inlineStr">
        <is>
          <t>Nấu tươi buổi tối</t>
        </is>
      </c>
      <c r="N32" s="38" t="inlineStr">
        <is>
          <t>Thay bằng Cá basa chiên sốt cà</t>
        </is>
      </c>
    </row>
    <row r="33" ht="24" customHeight="1">
      <c r="A33" s="49" t="inlineStr">
        <is>
          <t>TỔNG CỘNG DỰ KIẾN (Thứ Sáu)</t>
        </is>
      </c>
      <c r="H33" s="50">
        <f>SUM(H28:H32)</f>
        <v/>
      </c>
      <c r="I33" s="50">
        <f>SUM(I28:I32)</f>
        <v/>
      </c>
      <c r="J33" s="50">
        <f>SUM(J28:J32)</f>
        <v/>
      </c>
      <c r="K33" s="50">
        <f>SUM(K28:K32)</f>
        <v/>
      </c>
      <c r="L33" s="51">
        <f>SUM(L28:L32)</f>
        <v/>
      </c>
      <c r="M33" s="52" t="inlineStr">
        <is>
          <t>ĐẠT MỤC TIÊU</t>
        </is>
      </c>
      <c r="N33" s="53" t="inlineStr">
        <is>
          <t>Năng lượng chuẩn ~2.650 kcal</t>
        </is>
      </c>
    </row>
    <row r="34" ht="22" customHeight="1">
      <c r="A34" s="24" t="n">
        <v>1</v>
      </c>
      <c r="B34" s="24" t="inlineStr">
        <is>
          <t>Thứ Bảy</t>
        </is>
      </c>
      <c r="C34" s="24" t="inlineStr">
        <is>
          <t>07:00</t>
        </is>
      </c>
      <c r="D34" s="24" t="inlineStr">
        <is>
          <t>Bữa sáng</t>
        </is>
      </c>
      <c r="E34" s="38" t="inlineStr">
        <is>
          <t>Bánh mì kẹp trứng bơ đậu phộng + Sữa tươi</t>
        </is>
      </c>
      <c r="F34" s="38" t="inlineStr">
        <is>
          <t>2 lát sandwich, 1 trứng, 20g bơ đậu phộng, 1 hộp sữa 220ml</t>
        </is>
      </c>
      <c r="G34" s="24" t="inlineStr">
        <is>
          <t>1 suất</t>
        </is>
      </c>
      <c r="H34" s="39" t="n">
        <v>550</v>
      </c>
      <c r="I34" s="39" t="n">
        <v>23</v>
      </c>
      <c r="J34" s="39" t="n">
        <v>52</v>
      </c>
      <c r="K34" s="39" t="n">
        <v>27</v>
      </c>
      <c r="L34" s="40" t="n">
        <v>16000</v>
      </c>
      <c r="M34" s="24" t="inlineStr">
        <is>
          <t>Tự nấu tại phòng</t>
        </is>
      </c>
      <c r="N34" s="38" t="inlineStr">
        <is>
          <t>Thay bằng Bún bò / Phở bò quán quen</t>
        </is>
      </c>
    </row>
    <row r="35" ht="22" customHeight="1">
      <c r="A35" s="24" t="n">
        <v>1</v>
      </c>
      <c r="B35" s="24" t="inlineStr">
        <is>
          <t>Thứ Bảy</t>
        </is>
      </c>
      <c r="C35" s="24" t="inlineStr">
        <is>
          <t>10:00</t>
        </is>
      </c>
      <c r="D35" s="24" t="inlineStr">
        <is>
          <t>Bữa phụ sáng</t>
        </is>
      </c>
      <c r="E35" s="38" t="inlineStr">
        <is>
          <t>Chuối tiêu chín + Sữa chua có đường</t>
        </is>
      </c>
      <c r="F35" s="38" t="inlineStr">
        <is>
          <t>1 quả chuối (100g) + 1 hộp sữa chua (100g)</t>
        </is>
      </c>
      <c r="G35" s="24" t="inlineStr">
        <is>
          <t>1 suất</t>
        </is>
      </c>
      <c r="H35" s="39" t="n">
        <v>190</v>
      </c>
      <c r="I35" s="39" t="n">
        <v>4.3</v>
      </c>
      <c r="J35" s="39" t="n">
        <v>37</v>
      </c>
      <c r="K35" s="39" t="n">
        <v>3.1</v>
      </c>
      <c r="L35" s="40" t="n">
        <v>8000</v>
      </c>
      <c r="M35" s="24" t="inlineStr">
        <is>
          <t>Chuẩn bị sẵn</t>
        </is>
      </c>
      <c r="N35" s="38" t="inlineStr">
        <is>
          <t>Thay bằng 30g Đậu phộng rang</t>
        </is>
      </c>
    </row>
    <row r="36" ht="22" customHeight="1">
      <c r="A36" s="24" t="n">
        <v>1</v>
      </c>
      <c r="B36" s="24" t="inlineStr">
        <is>
          <t>Thứ Bảy</t>
        </is>
      </c>
      <c r="C36" s="24" t="inlineStr">
        <is>
          <t>12:30</t>
        </is>
      </c>
      <c r="D36" s="24" t="inlineStr">
        <is>
          <t>Bữa trưa</t>
        </is>
      </c>
      <c r="E36" s="38" t="inlineStr">
        <is>
          <t>Cơm ức gà xào nấm &amp; Trứng ốp la</t>
        </is>
      </c>
      <c r="F36" s="38" t="inlineStr">
        <is>
          <t>250g Cơm trắng, 150g Ức gà, 1 Trứng gà, rau cải</t>
        </is>
      </c>
      <c r="G36" s="24" t="inlineStr">
        <is>
          <t>1 suất</t>
        </is>
      </c>
      <c r="H36" s="39" t="n">
        <v>680</v>
      </c>
      <c r="I36" s="39" t="n">
        <v>48</v>
      </c>
      <c r="J36" s="39" t="n">
        <v>76</v>
      </c>
      <c r="K36" s="39" t="n">
        <v>19</v>
      </c>
      <c r="L36" s="40" t="n">
        <v>32000</v>
      </c>
      <c r="M36" s="24" t="inlineStr">
        <is>
          <t>Meal-prep sẵn</t>
        </is>
      </c>
      <c r="N36" s="38" t="inlineStr">
        <is>
          <t>Thay bằng Cơm thịt heo luộc</t>
        </is>
      </c>
    </row>
    <row r="37" ht="22" customHeight="1">
      <c r="A37" s="24" t="n">
        <v>1</v>
      </c>
      <c r="B37" s="24" t="inlineStr">
        <is>
          <t>Thứ Bảy</t>
        </is>
      </c>
      <c r="C37" s="24" t="inlineStr">
        <is>
          <t>16:30</t>
        </is>
      </c>
      <c r="D37" s="24" t="inlineStr">
        <is>
          <t>Bữa phụ chiều</t>
        </is>
      </c>
      <c r="E37" s="38" t="inlineStr">
        <is>
          <t>Sinh Tố Mass Tự Làm (Pre-workout)</t>
        </is>
      </c>
      <c r="F37" s="38" t="inlineStr">
        <is>
          <t>Chuối + Yến mạch + Bơ đậu phộng + Sữa tươi</t>
        </is>
      </c>
      <c r="G37" s="24" t="inlineStr">
        <is>
          <t>1 ly lớn</t>
        </is>
      </c>
      <c r="H37" s="39" t="n">
        <v>625</v>
      </c>
      <c r="I37" s="39" t="n">
        <v>20.5</v>
      </c>
      <c r="J37" s="39" t="n">
        <v>81</v>
      </c>
      <c r="K37" s="39" t="n">
        <v>24</v>
      </c>
      <c r="L37" s="40" t="n">
        <v>19000</v>
      </c>
      <c r="M37" s="24" t="inlineStr">
        <is>
          <t>Xay trước tập</t>
        </is>
      </c>
      <c r="N37" s="38" t="inlineStr">
        <is>
          <t>Uống sữa tươi + 1 bánh bao</t>
        </is>
      </c>
    </row>
    <row r="38" ht="22" customHeight="1">
      <c r="A38" s="24" t="n">
        <v>1</v>
      </c>
      <c r="B38" s="24" t="inlineStr">
        <is>
          <t>Thứ Bảy</t>
        </is>
      </c>
      <c r="C38" s="24" t="inlineStr">
        <is>
          <t>19:30</t>
        </is>
      </c>
      <c r="D38" s="24" t="inlineStr">
        <is>
          <t>Bữa tối</t>
        </is>
      </c>
      <c r="E38" s="38" t="inlineStr">
        <is>
          <t>Cơm thịt heo nạc xào đậu phụ cà chua</t>
        </is>
      </c>
      <c r="F38" s="38" t="inlineStr">
        <is>
          <t>250g Cơm trắng, 100g Thịt nạc, 100g Đậu phụ, rau muống</t>
        </is>
      </c>
      <c r="G38" s="24" t="inlineStr">
        <is>
          <t>1 suất</t>
        </is>
      </c>
      <c r="H38" s="39" t="n">
        <v>610</v>
      </c>
      <c r="I38" s="39" t="n">
        <v>36</v>
      </c>
      <c r="J38" s="39" t="n">
        <v>75</v>
      </c>
      <c r="K38" s="39" t="n">
        <v>17</v>
      </c>
      <c r="L38" s="40" t="n">
        <v>26000</v>
      </c>
      <c r="M38" s="24" t="inlineStr">
        <is>
          <t>Nấu tươi buổi tối</t>
        </is>
      </c>
      <c r="N38" s="38" t="inlineStr">
        <is>
          <t>Thay bằng Cá basa chiên sốt cà</t>
        </is>
      </c>
    </row>
    <row r="39" ht="24" customHeight="1">
      <c r="A39" s="49" t="inlineStr">
        <is>
          <t>TỔNG CỘNG DỰ KIẾN (Thứ Bảy)</t>
        </is>
      </c>
      <c r="H39" s="50">
        <f>SUM(H34:H38)</f>
        <v/>
      </c>
      <c r="I39" s="50">
        <f>SUM(I34:I38)</f>
        <v/>
      </c>
      <c r="J39" s="50">
        <f>SUM(J34:J38)</f>
        <v/>
      </c>
      <c r="K39" s="50">
        <f>SUM(K34:K38)</f>
        <v/>
      </c>
      <c r="L39" s="51">
        <f>SUM(L34:L38)</f>
        <v/>
      </c>
      <c r="M39" s="52" t="inlineStr">
        <is>
          <t>ĐẠT MỤC TIÊU</t>
        </is>
      </c>
      <c r="N39" s="53" t="inlineStr">
        <is>
          <t>Năng lượng chuẩn ~2.650 kcal</t>
        </is>
      </c>
    </row>
    <row r="40" ht="22" customHeight="1">
      <c r="A40" s="24" t="n">
        <v>1</v>
      </c>
      <c r="B40" s="24" t="inlineStr">
        <is>
          <t>Chủ Nhật</t>
        </is>
      </c>
      <c r="C40" s="24" t="inlineStr">
        <is>
          <t>07:00</t>
        </is>
      </c>
      <c r="D40" s="24" t="inlineStr">
        <is>
          <t>Bữa sáng</t>
        </is>
      </c>
      <c r="E40" s="38" t="inlineStr">
        <is>
          <t>Bánh mì kẹp trứng bơ đậu phộng + Sữa tươi</t>
        </is>
      </c>
      <c r="F40" s="38" t="inlineStr">
        <is>
          <t>2 lát sandwich, 1 trứng, 20g bơ đậu phộng, 1 hộp sữa 220ml</t>
        </is>
      </c>
      <c r="G40" s="24" t="inlineStr">
        <is>
          <t>1 suất</t>
        </is>
      </c>
      <c r="H40" s="39" t="n">
        <v>550</v>
      </c>
      <c r="I40" s="39" t="n">
        <v>23</v>
      </c>
      <c r="J40" s="39" t="n">
        <v>52</v>
      </c>
      <c r="K40" s="39" t="n">
        <v>27</v>
      </c>
      <c r="L40" s="40" t="n">
        <v>16000</v>
      </c>
      <c r="M40" s="24" t="inlineStr">
        <is>
          <t>Tự nấu tại phòng</t>
        </is>
      </c>
      <c r="N40" s="38" t="inlineStr">
        <is>
          <t>Thay bằng Bún bò / Phở bò quán quen</t>
        </is>
      </c>
    </row>
    <row r="41" ht="22" customHeight="1">
      <c r="A41" s="24" t="n">
        <v>1</v>
      </c>
      <c r="B41" s="24" t="inlineStr">
        <is>
          <t>Chủ Nhật</t>
        </is>
      </c>
      <c r="C41" s="24" t="inlineStr">
        <is>
          <t>10:00</t>
        </is>
      </c>
      <c r="D41" s="24" t="inlineStr">
        <is>
          <t>Bữa phụ sáng</t>
        </is>
      </c>
      <c r="E41" s="38" t="inlineStr">
        <is>
          <t>Chuối tiêu chín + Sữa chua có đường</t>
        </is>
      </c>
      <c r="F41" s="38" t="inlineStr">
        <is>
          <t>1 quả chuối (100g) + 1 hộp sữa chua (100g)</t>
        </is>
      </c>
      <c r="G41" s="24" t="inlineStr">
        <is>
          <t>1 suất</t>
        </is>
      </c>
      <c r="H41" s="39" t="n">
        <v>190</v>
      </c>
      <c r="I41" s="39" t="n">
        <v>4.3</v>
      </c>
      <c r="J41" s="39" t="n">
        <v>37</v>
      </c>
      <c r="K41" s="39" t="n">
        <v>3.1</v>
      </c>
      <c r="L41" s="40" t="n">
        <v>8000</v>
      </c>
      <c r="M41" s="24" t="inlineStr">
        <is>
          <t>Chuẩn bị sẵn</t>
        </is>
      </c>
      <c r="N41" s="38" t="inlineStr">
        <is>
          <t>Thay bằng 30g Đậu phộng rang</t>
        </is>
      </c>
    </row>
    <row r="42" ht="22" customHeight="1">
      <c r="A42" s="24" t="n">
        <v>1</v>
      </c>
      <c r="B42" s="24" t="inlineStr">
        <is>
          <t>Chủ Nhật</t>
        </is>
      </c>
      <c r="C42" s="24" t="inlineStr">
        <is>
          <t>12:30</t>
        </is>
      </c>
      <c r="D42" s="24" t="inlineStr">
        <is>
          <t>Bữa trưa</t>
        </is>
      </c>
      <c r="E42" s="38" t="inlineStr">
        <is>
          <t>Cơm ức gà xào nấm &amp; Trứng ốp la</t>
        </is>
      </c>
      <c r="F42" s="38" t="inlineStr">
        <is>
          <t>250g Cơm trắng, 150g Ức gà, 1 Trứng gà, rau cải</t>
        </is>
      </c>
      <c r="G42" s="24" t="inlineStr">
        <is>
          <t>1 suất</t>
        </is>
      </c>
      <c r="H42" s="39" t="n">
        <v>680</v>
      </c>
      <c r="I42" s="39" t="n">
        <v>48</v>
      </c>
      <c r="J42" s="39" t="n">
        <v>76</v>
      </c>
      <c r="K42" s="39" t="n">
        <v>19</v>
      </c>
      <c r="L42" s="40" t="n">
        <v>32000</v>
      </c>
      <c r="M42" s="24" t="inlineStr">
        <is>
          <t>Meal-prep sẵn</t>
        </is>
      </c>
      <c r="N42" s="38" t="inlineStr">
        <is>
          <t>Thay bằng Cơm thịt heo luộc</t>
        </is>
      </c>
    </row>
    <row r="43" ht="22" customHeight="1">
      <c r="A43" s="24" t="n">
        <v>1</v>
      </c>
      <c r="B43" s="24" t="inlineStr">
        <is>
          <t>Chủ Nhật</t>
        </is>
      </c>
      <c r="C43" s="24" t="inlineStr">
        <is>
          <t>16:30</t>
        </is>
      </c>
      <c r="D43" s="24" t="inlineStr">
        <is>
          <t>Bữa phụ chiều</t>
        </is>
      </c>
      <c r="E43" s="38" t="inlineStr">
        <is>
          <t>Sinh Tố Mass Tự Làm (Pre-workout)</t>
        </is>
      </c>
      <c r="F43" s="38" t="inlineStr">
        <is>
          <t>Chuối + Yến mạch + Bơ đậu phộng + Sữa tươi</t>
        </is>
      </c>
      <c r="G43" s="24" t="inlineStr">
        <is>
          <t>1 ly lớn</t>
        </is>
      </c>
      <c r="H43" s="39" t="n">
        <v>625</v>
      </c>
      <c r="I43" s="39" t="n">
        <v>20.5</v>
      </c>
      <c r="J43" s="39" t="n">
        <v>81</v>
      </c>
      <c r="K43" s="39" t="n">
        <v>24</v>
      </c>
      <c r="L43" s="40" t="n">
        <v>19000</v>
      </c>
      <c r="M43" s="24" t="inlineStr">
        <is>
          <t>Xay trước tập</t>
        </is>
      </c>
      <c r="N43" s="38" t="inlineStr">
        <is>
          <t>Uống sữa tươi + 1 bánh bao</t>
        </is>
      </c>
    </row>
    <row r="44" ht="22" customHeight="1">
      <c r="A44" s="24" t="n">
        <v>1</v>
      </c>
      <c r="B44" s="24" t="inlineStr">
        <is>
          <t>Chủ Nhật</t>
        </is>
      </c>
      <c r="C44" s="24" t="inlineStr">
        <is>
          <t>19:30</t>
        </is>
      </c>
      <c r="D44" s="24" t="inlineStr">
        <is>
          <t>Bữa tối</t>
        </is>
      </c>
      <c r="E44" s="38" t="inlineStr">
        <is>
          <t>Cơm thịt heo nạc xào đậu phụ cà chua</t>
        </is>
      </c>
      <c r="F44" s="38" t="inlineStr">
        <is>
          <t>250g Cơm trắng, 100g Thịt nạc, 100g Đậu phụ, rau muống</t>
        </is>
      </c>
      <c r="G44" s="24" t="inlineStr">
        <is>
          <t>1 suất</t>
        </is>
      </c>
      <c r="H44" s="39" t="n">
        <v>610</v>
      </c>
      <c r="I44" s="39" t="n">
        <v>36</v>
      </c>
      <c r="J44" s="39" t="n">
        <v>75</v>
      </c>
      <c r="K44" s="39" t="n">
        <v>17</v>
      </c>
      <c r="L44" s="40" t="n">
        <v>26000</v>
      </c>
      <c r="M44" s="24" t="inlineStr">
        <is>
          <t>Nấu tươi buổi tối</t>
        </is>
      </c>
      <c r="N44" s="38" t="inlineStr">
        <is>
          <t>Thay bằng Cá basa chiên sốt cà</t>
        </is>
      </c>
    </row>
    <row r="45" ht="24" customHeight="1">
      <c r="A45" s="49" t="inlineStr">
        <is>
          <t>TỔNG CỘNG DỰ KIẾN (Chủ Nhật)</t>
        </is>
      </c>
      <c r="H45" s="50">
        <f>SUM(H40:H44)</f>
        <v/>
      </c>
      <c r="I45" s="50">
        <f>SUM(I40:I44)</f>
        <v/>
      </c>
      <c r="J45" s="50">
        <f>SUM(J40:J44)</f>
        <v/>
      </c>
      <c r="K45" s="50">
        <f>SUM(K40:K44)</f>
        <v/>
      </c>
      <c r="L45" s="51">
        <f>SUM(L40:L44)</f>
        <v/>
      </c>
      <c r="M45" s="52" t="inlineStr">
        <is>
          <t>ĐẠT MỤC TIÊU</t>
        </is>
      </c>
      <c r="N45" s="53" t="inlineStr">
        <is>
          <t>Năng lượng chuẩn ~2.650 kcal</t>
        </is>
      </c>
    </row>
  </sheetData>
  <mergeCells count="8">
    <mergeCell ref="A9:G9"/>
    <mergeCell ref="A27:G27"/>
    <mergeCell ref="A21:G21"/>
    <mergeCell ref="A39:G39"/>
    <mergeCell ref="A15:G15"/>
    <mergeCell ref="A33:G33"/>
    <mergeCell ref="A45:G45"/>
    <mergeCell ref="A1:N1"/>
  </mergeCells>
  <dataValidations count="1">
    <dataValidation sqref="B5:B154 D4:D50" showDropDown="0" showInputMessage="0" showErrorMessage="0" allowBlank="1" type="list">
      <formula1>='14_SETTINGS_VALIDATION'!$A$4:$A$9</formula1>
    </dataValidation>
  </dataValidations>
  <pageMargins left="0.75" right="0.75" top="1" bottom="1" header="0.5" footer="0.5"/>
</worksheet>
</file>

<file path=xl/worksheets/sheet7.xml><?xml version="1.0" encoding="utf-8"?>
<worksheet xmlns="http://schemas.openxmlformats.org/spreadsheetml/2006/main">
  <sheetPr>
    <tabColor rgb="00F59E0B"/>
    <outlinePr summaryBelow="1" summaryRight="1"/>
    <pageSetUpPr/>
  </sheetPr>
  <dimension ref="A1:X300"/>
  <sheetViews>
    <sheetView showGridLines="1"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4" customWidth="1" min="2" max="2"/>
    <col width="30" customWidth="1" min="3" max="3"/>
    <col width="12" customWidth="1" min="4" max="4"/>
    <col width="10" customWidth="1" min="5" max="5"/>
    <col width="12" customWidth="1" min="6" max="6"/>
    <col width="12" customWidth="1" min="7" max="7"/>
    <col width="12" customWidth="1" min="8" max="8"/>
    <col width="12" customWidth="1" min="9" max="9"/>
    <col width="14" customWidth="1" min="10" max="10"/>
    <col width="22" customWidth="1" min="11" max="11"/>
    <col width="25" customWidth="1" min="12" max="12"/>
    <col width="4" customWidth="1" min="13" max="13"/>
    <col width="12" customWidth="1" min="14" max="14"/>
    <col width="12" customWidth="1" min="15" max="15"/>
    <col width="12" customWidth="1" min="16" max="16"/>
    <col width="12" customWidth="1" min="17" max="17"/>
    <col width="12" customWidth="1" min="18" max="18"/>
    <col width="12" customWidth="1" min="19" max="19"/>
    <col width="14" customWidth="1" min="20" max="20"/>
    <col width="10" customWidth="1" min="21" max="21"/>
    <col width="22" customWidth="1" min="22" max="22"/>
    <col width="14" customWidth="1" min="23" max="23"/>
    <col width="14" customWidth="1" min="24" max="24"/>
  </cols>
  <sheetData>
    <row r="1" ht="36" customHeight="1">
      <c r="A1" s="1" t="inlineStr">
        <is>
          <t>NHẬT KÝ ĂN UỐNG THỰC TẾ CHI TIẾT (MEAL LOG ENTRIES)</t>
        </is>
      </c>
      <c r="N1" s="54" t="inlineStr">
        <is>
          <t>BẢNG TỔNG HỢP THEO NGÀY (DAILY NUTRITION ROLLUP)</t>
        </is>
      </c>
    </row>
    <row r="2">
      <c r="A2" s="55" t="inlineStr">
        <is>
          <t>Nhập khối lượng và tên món. Kcal, Protein, Carb, Fat được tính TỰ ĐỘNG từ Database. Chọn Mức độ tin cậy để đánh giá tính chuẩn xác.</t>
        </is>
      </c>
      <c r="N2" s="56" t="inlineStr">
        <is>
          <t>Quy tắc an toàn: Ngày CHƯA NHẬP sẽ để trống calo, KHÔNG BAO GIỜ tính là 0 calo để tránh làm lệch số liệu trung bình tuần!</t>
        </is>
      </c>
    </row>
    <row r="4" ht="26" customHeight="1">
      <c r="A4" s="36" t="inlineStr">
        <is>
          <t>Ngày</t>
        </is>
      </c>
      <c r="B4" s="36" t="inlineStr">
        <is>
          <t>Bữa Ăn</t>
        </is>
      </c>
      <c r="C4" s="36" t="inlineStr">
        <is>
          <t>Món Ăn / Thực Phẩm</t>
        </is>
      </c>
      <c r="D4" s="36" t="inlineStr">
        <is>
          <t>Khối Lượng</t>
        </is>
      </c>
      <c r="E4" s="36" t="inlineStr">
        <is>
          <t>Đơn Vị</t>
        </is>
      </c>
      <c r="F4" s="36" t="inlineStr">
        <is>
          <t>Kcal</t>
        </is>
      </c>
      <c r="G4" s="36" t="inlineStr">
        <is>
          <t>Protein (g)</t>
        </is>
      </c>
      <c r="H4" s="36" t="inlineStr">
        <is>
          <t>Carb (g)</t>
        </is>
      </c>
      <c r="I4" s="36" t="inlineStr">
        <is>
          <t>Fat (g)</t>
        </is>
      </c>
      <c r="J4" s="36" t="inlineStr">
        <is>
          <t>Chi Phí</t>
        </is>
      </c>
      <c r="K4" s="36" t="inlineStr">
        <is>
          <t>Mức Độ Tin Cậy</t>
        </is>
      </c>
      <c r="L4" s="36" t="inlineStr">
        <is>
          <t>Ghi Chú</t>
        </is>
      </c>
      <c r="N4" s="5" t="inlineStr">
        <is>
          <t>Ngày Tổng Hợp</t>
        </is>
      </c>
      <c r="O4" s="5" t="inlineStr">
        <is>
          <t>Thứ</t>
        </is>
      </c>
      <c r="P4" s="5" t="inlineStr">
        <is>
          <t>Tổng Kcal</t>
        </is>
      </c>
      <c r="Q4" s="5" t="inlineStr">
        <is>
          <t>Tổng Đạm (g)</t>
        </is>
      </c>
      <c r="R4" s="5" t="inlineStr">
        <is>
          <t>Tổng Carb (g)</t>
        </is>
      </c>
      <c r="S4" s="5" t="inlineStr">
        <is>
          <t>Tổng Fat (g)</t>
        </is>
      </c>
      <c r="T4" s="5" t="inlineStr">
        <is>
          <t>Tổng Chi Phí</t>
        </is>
      </c>
      <c r="U4" s="5" t="inlineStr">
        <is>
          <t>Số Bữa</t>
        </is>
      </c>
      <c r="V4" s="5" t="inlineStr">
        <is>
          <t>Trạng Thái Ngày</t>
        </is>
      </c>
      <c r="W4" s="5" t="inlineStr">
        <is>
          <t>% Đạt Kcal</t>
        </is>
      </c>
      <c r="X4" s="5" t="inlineStr">
        <is>
          <t>% Đạt Protein</t>
        </is>
      </c>
    </row>
    <row r="5" ht="22" customHeight="1">
      <c r="A5" s="57" t="n">
        <v>46314</v>
      </c>
      <c r="B5" s="7" t="inlineStr">
        <is>
          <t>Bữa sáng</t>
        </is>
      </c>
      <c r="C5" s="58" t="inlineStr">
        <is>
          <t>Bánh mì sandwich trắng</t>
        </is>
      </c>
      <c r="D5" s="58" t="n">
        <v>60</v>
      </c>
      <c r="E5" s="7" t="inlineStr">
        <is>
          <t>g</t>
        </is>
      </c>
      <c r="F5" s="59">
        <f>IF(OR(C5="", D5=""), "", IFERROR(VLOOKUP(C5, '03_FOOD_DATABASE'!$B$5:$L$60, 6, FALSE)*D5/100, IFERROR(VLOOKUP(C5, '04_RECIPE_DATABASE'!$B$5:$M$20, 8, FALSE)*D5, 0)))</f>
        <v/>
      </c>
      <c r="G5" s="59">
        <f>IF(OR(C5="", D5=""), "", IFERROR(VLOOKUP(C5, '03_FOOD_DATABASE'!$B$5:$L$60, 7, FALSE)*D5/100, IFERROR(VLOOKUP(C5, '04_RECIPE_DATABASE'!$B$5:$M$20, 9, FALSE)*D5, 0)))</f>
        <v/>
      </c>
      <c r="H5" s="59">
        <f>IF(OR(C5="", D5=""), "", IFERROR(VLOOKUP(C5, '03_FOOD_DATABASE'!$B$5:$L$60, 8, FALSE)*D5/100, IFERROR(VLOOKUP(C5, '04_RECIPE_DATABASE'!$B$5:$M$20, 10, FALSE)*D5, 0)))</f>
        <v/>
      </c>
      <c r="I5" s="59">
        <f>IF(OR(C5="", D5=""), "", IFERROR(VLOOKUP(C5, '03_FOOD_DATABASE'!$B$5:$L$60, 9, FALSE)*D5/100, IFERROR(VLOOKUP(C5, '04_RECIPE_DATABASE'!$B$5:$M$20, 11, FALSE)*D5, 0)))</f>
        <v/>
      </c>
      <c r="J5" s="60">
        <f>IF(OR(C5="", D5=""), "", IFERROR(VLOOKUP(C5, '03_FOOD_DATABASE'!$B$5:$L$60, 11, FALSE)*D5/100, IFERROR(VLOOKUP(C5, '04_RECIPE_DATABASE'!$B$5:$M$20, 12, FALSE)*D5, 0)))</f>
        <v/>
      </c>
      <c r="K5" s="7" t="inlineStr">
        <is>
          <t>Đã cân thực tế (Cân điện tử)</t>
        </is>
      </c>
      <c r="L5" s="58" t="inlineStr">
        <is>
          <t>2 lát sandwich</t>
        </is>
      </c>
      <c r="N5" s="99" t="n">
        <v>46314</v>
      </c>
      <c r="O5" s="100">
        <f>TEXT(N5, "dddd")</f>
        <v/>
      </c>
      <c r="P5" s="101">
        <f>IF(U5=0, "", SUMIFS($F$5:$F$1500, $A$5:$A$1500, N5))</f>
        <v/>
      </c>
      <c r="Q5" s="102">
        <f>IF(U5=0, "", SUMIFS($G$5:$G$1500, $A$5:$A$1500, N5))</f>
        <v/>
      </c>
      <c r="R5" s="102">
        <f>IF(U5=0, "", SUMIFS($H$5:$H$1500, $A$5:$A$1500, N5))</f>
        <v/>
      </c>
      <c r="S5" s="102">
        <f>IF(U5=0, "", SUMIFS($I$5:$I$1500, $A$5:$A$1500, N5))</f>
        <v/>
      </c>
      <c r="T5" s="101">
        <f>IF(U5=0, "", SUMIFS($J$5:$J$1500, $A$5:$A$1500, N5))</f>
        <v/>
      </c>
      <c r="U5" s="103">
        <f>COUNTIFS($A$5:$A$1500, N5)</f>
        <v/>
      </c>
      <c r="V5" s="104">
        <f>IF(U5=0, "CHƯA NHẬP", IF(U5&lt;3, "INCOMPLETE (Chưa đủ bữa)", "COMPLETE (Đầy đủ)"))</f>
        <v/>
      </c>
      <c r="W5" s="105">
        <f>IF(P5="", "", P5/'02_NUTRITION_SETUP'!$C$20)</f>
        <v/>
      </c>
      <c r="X5" s="105">
        <f>IF(Q5="", "", Q5/'02_NUTRITION_SETUP'!$C$21)</f>
        <v/>
      </c>
    </row>
    <row r="6" ht="22" customHeight="1">
      <c r="A6" s="57" t="n">
        <v>46314</v>
      </c>
      <c r="B6" s="7" t="inlineStr">
        <is>
          <t>Bữa sáng</t>
        </is>
      </c>
      <c r="C6" s="58" t="inlineStr">
        <is>
          <t>Trứng gà công nghiệp (1 quả ~50g)</t>
        </is>
      </c>
      <c r="D6" s="58" t="n">
        <v>2</v>
      </c>
      <c r="E6" s="7" t="inlineStr">
        <is>
          <t>quả</t>
        </is>
      </c>
      <c r="F6" s="59">
        <f>IF(OR(C6="", D6=""), "", IFERROR(VLOOKUP(C6, '03_FOOD_DATABASE'!$B$5:$L$60, 6, FALSE)*D6/100, IFERROR(VLOOKUP(C6, '04_RECIPE_DATABASE'!$B$5:$M$20, 8, FALSE)*D6, 0)))</f>
        <v/>
      </c>
      <c r="G6" s="59">
        <f>IF(OR(C6="", D6=""), "", IFERROR(VLOOKUP(C6, '03_FOOD_DATABASE'!$B$5:$L$60, 7, FALSE)*D6/100, IFERROR(VLOOKUP(C6, '04_RECIPE_DATABASE'!$B$5:$M$20, 9, FALSE)*D6, 0)))</f>
        <v/>
      </c>
      <c r="H6" s="59">
        <f>IF(OR(C6="", D6=""), "", IFERROR(VLOOKUP(C6, '03_FOOD_DATABASE'!$B$5:$L$60, 8, FALSE)*D6/100, IFERROR(VLOOKUP(C6, '04_RECIPE_DATABASE'!$B$5:$M$20, 10, FALSE)*D6, 0)))</f>
        <v/>
      </c>
      <c r="I6" s="59">
        <f>IF(OR(C6="", D6=""), "", IFERROR(VLOOKUP(C6, '03_FOOD_DATABASE'!$B$5:$L$60, 9, FALSE)*D6/100, IFERROR(VLOOKUP(C6, '04_RECIPE_DATABASE'!$B$5:$M$20, 11, FALSE)*D6, 0)))</f>
        <v/>
      </c>
      <c r="J6" s="60">
        <f>IF(OR(C6="", D6=""), "", IFERROR(VLOOKUP(C6, '03_FOOD_DATABASE'!$B$5:$L$60, 11, FALSE)*D6/100, IFERROR(VLOOKUP(C6, '04_RECIPE_DATABASE'!$B$5:$M$20, 12, FALSE)*D6, 0)))</f>
        <v/>
      </c>
      <c r="K6" s="7" t="inlineStr">
        <is>
          <t>Đã cân thực tế (Cân điện tử)</t>
        </is>
      </c>
      <c r="L6" s="58" t="inlineStr">
        <is>
          <t>2 quả ốp la</t>
        </is>
      </c>
      <c r="N6" s="99" t="n">
        <v>46315</v>
      </c>
      <c r="O6" s="100">
        <f>TEXT(N6, "dddd")</f>
        <v/>
      </c>
      <c r="P6" s="101">
        <f>IF(U6=0, "", SUMIFS($F$5:$F$1500, $A$5:$A$1500, N6))</f>
        <v/>
      </c>
      <c r="Q6" s="102">
        <f>IF(U6=0, "", SUMIFS($G$5:$G$1500, $A$5:$A$1500, N6))</f>
        <v/>
      </c>
      <c r="R6" s="102">
        <f>IF(U6=0, "", SUMIFS($H$5:$H$1500, $A$5:$A$1500, N6))</f>
        <v/>
      </c>
      <c r="S6" s="102">
        <f>IF(U6=0, "", SUMIFS($I$5:$I$1500, $A$5:$A$1500, N6))</f>
        <v/>
      </c>
      <c r="T6" s="101">
        <f>IF(U6=0, "", SUMIFS($J$5:$J$1500, $A$5:$A$1500, N6))</f>
        <v/>
      </c>
      <c r="U6" s="103">
        <f>COUNTIFS($A$5:$A$1500, N6)</f>
        <v/>
      </c>
      <c r="V6" s="104">
        <f>IF(U6=0, "CHƯA NHẬP", IF(U6&lt;3, "INCOMPLETE (Chưa đủ bữa)", "COMPLETE (Đầy đủ)"))</f>
        <v/>
      </c>
      <c r="W6" s="105">
        <f>IF(P6="", "", P6/'02_NUTRITION_SETUP'!$C$20)</f>
        <v/>
      </c>
      <c r="X6" s="105">
        <f>IF(Q6="", "", Q6/'02_NUTRITION_SETUP'!$C$21)</f>
        <v/>
      </c>
    </row>
    <row r="7" ht="22" customHeight="1">
      <c r="A7" s="57" t="n">
        <v>46314</v>
      </c>
      <c r="B7" s="7" t="inlineStr">
        <is>
          <t>Bữa sáng</t>
        </is>
      </c>
      <c r="C7" s="58" t="inlineStr">
        <is>
          <t>Bơ đậu phộng (Peanut Butter)</t>
        </is>
      </c>
      <c r="D7" s="58" t="n">
        <v>20</v>
      </c>
      <c r="E7" s="7" t="inlineStr">
        <is>
          <t>g</t>
        </is>
      </c>
      <c r="F7" s="59">
        <f>IF(OR(C7="", D7=""), "", IFERROR(VLOOKUP(C7, '03_FOOD_DATABASE'!$B$5:$L$60, 6, FALSE)*D7/100, IFERROR(VLOOKUP(C7, '04_RECIPE_DATABASE'!$B$5:$M$20, 8, FALSE)*D7, 0)))</f>
        <v/>
      </c>
      <c r="G7" s="59">
        <f>IF(OR(C7="", D7=""), "", IFERROR(VLOOKUP(C7, '03_FOOD_DATABASE'!$B$5:$L$60, 7, FALSE)*D7/100, IFERROR(VLOOKUP(C7, '04_RECIPE_DATABASE'!$B$5:$M$20, 9, FALSE)*D7, 0)))</f>
        <v/>
      </c>
      <c r="H7" s="59">
        <f>IF(OR(C7="", D7=""), "", IFERROR(VLOOKUP(C7, '03_FOOD_DATABASE'!$B$5:$L$60, 8, FALSE)*D7/100, IFERROR(VLOOKUP(C7, '04_RECIPE_DATABASE'!$B$5:$M$20, 10, FALSE)*D7, 0)))</f>
        <v/>
      </c>
      <c r="I7" s="59">
        <f>IF(OR(C7="", D7=""), "", IFERROR(VLOOKUP(C7, '03_FOOD_DATABASE'!$B$5:$L$60, 9, FALSE)*D7/100, IFERROR(VLOOKUP(C7, '04_RECIPE_DATABASE'!$B$5:$M$20, 11, FALSE)*D7, 0)))</f>
        <v/>
      </c>
      <c r="J7" s="60">
        <f>IF(OR(C7="", D7=""), "", IFERROR(VLOOKUP(C7, '03_FOOD_DATABASE'!$B$5:$L$60, 11, FALSE)*D7/100, IFERROR(VLOOKUP(C7, '04_RECIPE_DATABASE'!$B$5:$M$20, 12, FALSE)*D7, 0)))</f>
        <v/>
      </c>
      <c r="K7" s="7" t="inlineStr">
        <is>
          <t>Đã cân thực tế (Cân điện tử)</t>
        </is>
      </c>
      <c r="L7" s="58" t="inlineStr">
        <is>
          <t>Phết bánh mì</t>
        </is>
      </c>
      <c r="N7" s="99" t="n">
        <v>46316</v>
      </c>
      <c r="O7" s="100">
        <f>TEXT(N7, "dddd")</f>
        <v/>
      </c>
      <c r="P7" s="101">
        <f>IF(U7=0, "", SUMIFS($F$5:$F$1500, $A$5:$A$1500, N7))</f>
        <v/>
      </c>
      <c r="Q7" s="102">
        <f>IF(U7=0, "", SUMIFS($G$5:$G$1500, $A$5:$A$1500, N7))</f>
        <v/>
      </c>
      <c r="R7" s="102">
        <f>IF(U7=0, "", SUMIFS($H$5:$H$1500, $A$5:$A$1500, N7))</f>
        <v/>
      </c>
      <c r="S7" s="102">
        <f>IF(U7=0, "", SUMIFS($I$5:$I$1500, $A$5:$A$1500, N7))</f>
        <v/>
      </c>
      <c r="T7" s="101">
        <f>IF(U7=0, "", SUMIFS($J$5:$J$1500, $A$5:$A$1500, N7))</f>
        <v/>
      </c>
      <c r="U7" s="103">
        <f>COUNTIFS($A$5:$A$1500, N7)</f>
        <v/>
      </c>
      <c r="V7" s="104">
        <f>IF(U7=0, "CHƯA NHẬP", IF(U7&lt;3, "INCOMPLETE (Chưa đủ bữa)", "COMPLETE (Đầy đủ)"))</f>
        <v/>
      </c>
      <c r="W7" s="105">
        <f>IF(P7="", "", P7/'02_NUTRITION_SETUP'!$C$20)</f>
        <v/>
      </c>
      <c r="X7" s="105">
        <f>IF(Q7="", "", Q7/'02_NUTRITION_SETUP'!$C$21)</f>
        <v/>
      </c>
    </row>
    <row r="8" ht="22" customHeight="1">
      <c r="A8" s="57" t="n">
        <v>46314</v>
      </c>
      <c r="B8" s="7" t="inlineStr">
        <is>
          <t>Bữa sáng</t>
        </is>
      </c>
      <c r="C8" s="58" t="inlineStr">
        <is>
          <t>Sữa tươi có đường (Vinamilk)</t>
        </is>
      </c>
      <c r="D8" s="58" t="n">
        <v>220</v>
      </c>
      <c r="E8" s="7" t="inlineStr">
        <is>
          <t>ml</t>
        </is>
      </c>
      <c r="F8" s="59">
        <f>IF(OR(C8="", D8=""), "", IFERROR(VLOOKUP(C8, '03_FOOD_DATABASE'!$B$5:$L$60, 6, FALSE)*D8/100, IFERROR(VLOOKUP(C8, '04_RECIPE_DATABASE'!$B$5:$M$20, 8, FALSE)*D8, 0)))</f>
        <v/>
      </c>
      <c r="G8" s="59">
        <f>IF(OR(C8="", D8=""), "", IFERROR(VLOOKUP(C8, '03_FOOD_DATABASE'!$B$5:$L$60, 7, FALSE)*D8/100, IFERROR(VLOOKUP(C8, '04_RECIPE_DATABASE'!$B$5:$M$20, 9, FALSE)*D8, 0)))</f>
        <v/>
      </c>
      <c r="H8" s="59">
        <f>IF(OR(C8="", D8=""), "", IFERROR(VLOOKUP(C8, '03_FOOD_DATABASE'!$B$5:$L$60, 8, FALSE)*D8/100, IFERROR(VLOOKUP(C8, '04_RECIPE_DATABASE'!$B$5:$M$20, 10, FALSE)*D8, 0)))</f>
        <v/>
      </c>
      <c r="I8" s="59">
        <f>IF(OR(C8="", D8=""), "", IFERROR(VLOOKUP(C8, '03_FOOD_DATABASE'!$B$5:$L$60, 9, FALSE)*D8/100, IFERROR(VLOOKUP(C8, '04_RECIPE_DATABASE'!$B$5:$M$20, 11, FALSE)*D8, 0)))</f>
        <v/>
      </c>
      <c r="J8" s="60">
        <f>IF(OR(C8="", D8=""), "", IFERROR(VLOOKUP(C8, '03_FOOD_DATABASE'!$B$5:$L$60, 11, FALSE)*D8/100, IFERROR(VLOOKUP(C8, '04_RECIPE_DATABASE'!$B$5:$M$20, 12, FALSE)*D8, 0)))</f>
        <v/>
      </c>
      <c r="K8" s="7" t="inlineStr">
        <is>
          <t>Đã cân thực tế (Cân điện tử)</t>
        </is>
      </c>
      <c r="L8" s="58" t="inlineStr">
        <is>
          <t>1 hộp 220ml</t>
        </is>
      </c>
      <c r="N8" s="99" t="n">
        <v>46317</v>
      </c>
      <c r="O8" s="100">
        <f>TEXT(N8, "dddd")</f>
        <v/>
      </c>
      <c r="P8" s="101">
        <f>IF(U8=0, "", SUMIFS($F$5:$F$1500, $A$5:$A$1500, N8))</f>
        <v/>
      </c>
      <c r="Q8" s="102">
        <f>IF(U8=0, "", SUMIFS($G$5:$G$1500, $A$5:$A$1500, N8))</f>
        <v/>
      </c>
      <c r="R8" s="102">
        <f>IF(U8=0, "", SUMIFS($H$5:$H$1500, $A$5:$A$1500, N8))</f>
        <v/>
      </c>
      <c r="S8" s="102">
        <f>IF(U8=0, "", SUMIFS($I$5:$I$1500, $A$5:$A$1500, N8))</f>
        <v/>
      </c>
      <c r="T8" s="101">
        <f>IF(U8=0, "", SUMIFS($J$5:$J$1500, $A$5:$A$1500, N8))</f>
        <v/>
      </c>
      <c r="U8" s="103">
        <f>COUNTIFS($A$5:$A$1500, N8)</f>
        <v/>
      </c>
      <c r="V8" s="104">
        <f>IF(U8=0, "CHƯA NHẬP", IF(U8&lt;3, "INCOMPLETE (Chưa đủ bữa)", "COMPLETE (Đầy đủ)"))</f>
        <v/>
      </c>
      <c r="W8" s="105">
        <f>IF(P8="", "", P8/'02_NUTRITION_SETUP'!$C$20)</f>
        <v/>
      </c>
      <c r="X8" s="105">
        <f>IF(Q8="", "", Q8/'02_NUTRITION_SETUP'!$C$21)</f>
        <v/>
      </c>
    </row>
    <row r="9" ht="22" customHeight="1">
      <c r="A9" s="57" t="n">
        <v>46314</v>
      </c>
      <c r="B9" s="7" t="inlineStr">
        <is>
          <t>Bữa phụ sáng</t>
        </is>
      </c>
      <c r="C9" s="58" t="inlineStr">
        <is>
          <t>Chuối tiêu chín</t>
        </is>
      </c>
      <c r="D9" s="58" t="n">
        <v>100</v>
      </c>
      <c r="E9" s="7" t="inlineStr">
        <is>
          <t>g</t>
        </is>
      </c>
      <c r="F9" s="59">
        <f>IF(OR(C9="", D9=""), "", IFERROR(VLOOKUP(C9, '03_FOOD_DATABASE'!$B$5:$L$60, 6, FALSE)*D9/100, IFERROR(VLOOKUP(C9, '04_RECIPE_DATABASE'!$B$5:$M$20, 8, FALSE)*D9, 0)))</f>
        <v/>
      </c>
      <c r="G9" s="59">
        <f>IF(OR(C9="", D9=""), "", IFERROR(VLOOKUP(C9, '03_FOOD_DATABASE'!$B$5:$L$60, 7, FALSE)*D9/100, IFERROR(VLOOKUP(C9, '04_RECIPE_DATABASE'!$B$5:$M$20, 9, FALSE)*D9, 0)))</f>
        <v/>
      </c>
      <c r="H9" s="59">
        <f>IF(OR(C9="", D9=""), "", IFERROR(VLOOKUP(C9, '03_FOOD_DATABASE'!$B$5:$L$60, 8, FALSE)*D9/100, IFERROR(VLOOKUP(C9, '04_RECIPE_DATABASE'!$B$5:$M$20, 10, FALSE)*D9, 0)))</f>
        <v/>
      </c>
      <c r="I9" s="59">
        <f>IF(OR(C9="", D9=""), "", IFERROR(VLOOKUP(C9, '03_FOOD_DATABASE'!$B$5:$L$60, 9, FALSE)*D9/100, IFERROR(VLOOKUP(C9, '04_RECIPE_DATABASE'!$B$5:$M$20, 11, FALSE)*D9, 0)))</f>
        <v/>
      </c>
      <c r="J9" s="60">
        <f>IF(OR(C9="", D9=""), "", IFERROR(VLOOKUP(C9, '03_FOOD_DATABASE'!$B$5:$L$60, 11, FALSE)*D9/100, IFERROR(VLOOKUP(C9, '04_RECIPE_DATABASE'!$B$5:$M$20, 12, FALSE)*D9, 0)))</f>
        <v/>
      </c>
      <c r="K9" s="7" t="inlineStr">
        <is>
          <t>Ước lượng khẩu phần chuẩn</t>
        </is>
      </c>
      <c r="L9" s="58" t="inlineStr">
        <is>
          <t>1 quả chuối vừa</t>
        </is>
      </c>
      <c r="N9" s="99" t="n">
        <v>46318</v>
      </c>
      <c r="O9" s="100">
        <f>TEXT(N9, "dddd")</f>
        <v/>
      </c>
      <c r="P9" s="101">
        <f>IF(U9=0, "", SUMIFS($F$5:$F$1500, $A$5:$A$1500, N9))</f>
        <v/>
      </c>
      <c r="Q9" s="102">
        <f>IF(U9=0, "", SUMIFS($G$5:$G$1500, $A$5:$A$1500, N9))</f>
        <v/>
      </c>
      <c r="R9" s="102">
        <f>IF(U9=0, "", SUMIFS($H$5:$H$1500, $A$5:$A$1500, N9))</f>
        <v/>
      </c>
      <c r="S9" s="102">
        <f>IF(U9=0, "", SUMIFS($I$5:$I$1500, $A$5:$A$1500, N9))</f>
        <v/>
      </c>
      <c r="T9" s="101">
        <f>IF(U9=0, "", SUMIFS($J$5:$J$1500, $A$5:$A$1500, N9))</f>
        <v/>
      </c>
      <c r="U9" s="103">
        <f>COUNTIFS($A$5:$A$1500, N9)</f>
        <v/>
      </c>
      <c r="V9" s="104">
        <f>IF(U9=0, "CHƯA NHẬP", IF(U9&lt;3, "INCOMPLETE (Chưa đủ bữa)", "COMPLETE (Đầy đủ)"))</f>
        <v/>
      </c>
      <c r="W9" s="105">
        <f>IF(P9="", "", P9/'02_NUTRITION_SETUP'!$C$20)</f>
        <v/>
      </c>
      <c r="X9" s="105">
        <f>IF(Q9="", "", Q9/'02_NUTRITION_SETUP'!$C$21)</f>
        <v/>
      </c>
    </row>
    <row r="10" ht="22" customHeight="1">
      <c r="A10" s="57" t="n">
        <v>46314</v>
      </c>
      <c r="B10" s="7" t="inlineStr">
        <is>
          <t>Bữa trưa</t>
        </is>
      </c>
      <c r="C10" s="58" t="inlineStr">
        <is>
          <t>Cơm trắng (nấu chín)</t>
        </is>
      </c>
      <c r="D10" s="58" t="n">
        <v>250</v>
      </c>
      <c r="E10" s="7" t="inlineStr">
        <is>
          <t>g</t>
        </is>
      </c>
      <c r="F10" s="59">
        <f>IF(OR(C10="", D10=""), "", IFERROR(VLOOKUP(C10, '03_FOOD_DATABASE'!$B$5:$L$60, 6, FALSE)*D10/100, IFERROR(VLOOKUP(C10, '04_RECIPE_DATABASE'!$B$5:$M$20, 8, FALSE)*D10, 0)))</f>
        <v/>
      </c>
      <c r="G10" s="59">
        <f>IF(OR(C10="", D10=""), "", IFERROR(VLOOKUP(C10, '03_FOOD_DATABASE'!$B$5:$L$60, 7, FALSE)*D10/100, IFERROR(VLOOKUP(C10, '04_RECIPE_DATABASE'!$B$5:$M$20, 9, FALSE)*D10, 0)))</f>
        <v/>
      </c>
      <c r="H10" s="59">
        <f>IF(OR(C10="", D10=""), "", IFERROR(VLOOKUP(C10, '03_FOOD_DATABASE'!$B$5:$L$60, 8, FALSE)*D10/100, IFERROR(VLOOKUP(C10, '04_RECIPE_DATABASE'!$B$5:$M$20, 10, FALSE)*D10, 0)))</f>
        <v/>
      </c>
      <c r="I10" s="59">
        <f>IF(OR(C10="", D10=""), "", IFERROR(VLOOKUP(C10, '03_FOOD_DATABASE'!$B$5:$L$60, 9, FALSE)*D10/100, IFERROR(VLOOKUP(C10, '04_RECIPE_DATABASE'!$B$5:$M$20, 11, FALSE)*D10, 0)))</f>
        <v/>
      </c>
      <c r="J10" s="60">
        <f>IF(OR(C10="", D10=""), "", IFERROR(VLOOKUP(C10, '03_FOOD_DATABASE'!$B$5:$L$60, 11, FALSE)*D10/100, IFERROR(VLOOKUP(C10, '04_RECIPE_DATABASE'!$B$5:$M$20, 12, FALSE)*D10, 0)))</f>
        <v/>
      </c>
      <c r="K10" s="7" t="inlineStr">
        <is>
          <t>Đã cân thực tế (Cân điện tử)</t>
        </is>
      </c>
      <c r="L10" s="58" t="inlineStr">
        <is>
          <t>1 bát tô đầy</t>
        </is>
      </c>
      <c r="N10" s="99" t="n">
        <v>46319</v>
      </c>
      <c r="O10" s="100">
        <f>TEXT(N10, "dddd")</f>
        <v/>
      </c>
      <c r="P10" s="101">
        <f>IF(U10=0, "", SUMIFS($F$5:$F$1500, $A$5:$A$1500, N10))</f>
        <v/>
      </c>
      <c r="Q10" s="102">
        <f>IF(U10=0, "", SUMIFS($G$5:$G$1500, $A$5:$A$1500, N10))</f>
        <v/>
      </c>
      <c r="R10" s="102">
        <f>IF(U10=0, "", SUMIFS($H$5:$H$1500, $A$5:$A$1500, N10))</f>
        <v/>
      </c>
      <c r="S10" s="102">
        <f>IF(U10=0, "", SUMIFS($I$5:$I$1500, $A$5:$A$1500, N10))</f>
        <v/>
      </c>
      <c r="T10" s="101">
        <f>IF(U10=0, "", SUMIFS($J$5:$J$1500, $A$5:$A$1500, N10))</f>
        <v/>
      </c>
      <c r="U10" s="103">
        <f>COUNTIFS($A$5:$A$1500, N10)</f>
        <v/>
      </c>
      <c r="V10" s="104">
        <f>IF(U10=0, "CHƯA NHẬP", IF(U10&lt;3, "INCOMPLETE (Chưa đủ bữa)", "COMPLETE (Đầy đủ)"))</f>
        <v/>
      </c>
      <c r="W10" s="105">
        <f>IF(P10="", "", P10/'02_NUTRITION_SETUP'!$C$20)</f>
        <v/>
      </c>
      <c r="X10" s="105">
        <f>IF(Q10="", "", Q10/'02_NUTRITION_SETUP'!$C$21)</f>
        <v/>
      </c>
    </row>
    <row r="11" ht="22" customHeight="1">
      <c r="A11" s="57" t="n">
        <v>46314</v>
      </c>
      <c r="B11" s="7" t="inlineStr">
        <is>
          <t>Bữa trưa</t>
        </is>
      </c>
      <c r="C11" s="58" t="inlineStr">
        <is>
          <t>Ức gà áp chảo / Luộc</t>
        </is>
      </c>
      <c r="D11" s="58" t="n">
        <v>150</v>
      </c>
      <c r="E11" s="7" t="inlineStr">
        <is>
          <t>g</t>
        </is>
      </c>
      <c r="F11" s="59">
        <f>IF(OR(C11="", D11=""), "", IFERROR(VLOOKUP(C11, '03_FOOD_DATABASE'!$B$5:$L$60, 6, FALSE)*D11/100, IFERROR(VLOOKUP(C11, '04_RECIPE_DATABASE'!$B$5:$M$20, 8, FALSE)*D11, 0)))</f>
        <v/>
      </c>
      <c r="G11" s="59">
        <f>IF(OR(C11="", D11=""), "", IFERROR(VLOOKUP(C11, '03_FOOD_DATABASE'!$B$5:$L$60, 7, FALSE)*D11/100, IFERROR(VLOOKUP(C11, '04_RECIPE_DATABASE'!$B$5:$M$20, 9, FALSE)*D11, 0)))</f>
        <v/>
      </c>
      <c r="H11" s="59">
        <f>IF(OR(C11="", D11=""), "", IFERROR(VLOOKUP(C11, '03_FOOD_DATABASE'!$B$5:$L$60, 8, FALSE)*D11/100, IFERROR(VLOOKUP(C11, '04_RECIPE_DATABASE'!$B$5:$M$20, 10, FALSE)*D11, 0)))</f>
        <v/>
      </c>
      <c r="I11" s="59">
        <f>IF(OR(C11="", D11=""), "", IFERROR(VLOOKUP(C11, '03_FOOD_DATABASE'!$B$5:$L$60, 9, FALSE)*D11/100, IFERROR(VLOOKUP(C11, '04_RECIPE_DATABASE'!$B$5:$M$20, 11, FALSE)*D11, 0)))</f>
        <v/>
      </c>
      <c r="J11" s="60">
        <f>IF(OR(C11="", D11=""), "", IFERROR(VLOOKUP(C11, '03_FOOD_DATABASE'!$B$5:$L$60, 11, FALSE)*D11/100, IFERROR(VLOOKUP(C11, '04_RECIPE_DATABASE'!$B$5:$M$20, 12, FALSE)*D11, 0)))</f>
        <v/>
      </c>
      <c r="K11" s="7" t="inlineStr">
        <is>
          <t>Đã cân thực tế (Cân điện tử)</t>
        </is>
      </c>
      <c r="L11" s="58" t="inlineStr">
        <is>
          <t>Ức gà luộc xé</t>
        </is>
      </c>
      <c r="N11" s="99" t="n">
        <v>46320</v>
      </c>
      <c r="O11" s="100">
        <f>TEXT(N11, "dddd")</f>
        <v/>
      </c>
      <c r="P11" s="101">
        <f>IF(U11=0, "", SUMIFS($F$5:$F$1500, $A$5:$A$1500, N11))</f>
        <v/>
      </c>
      <c r="Q11" s="102">
        <f>IF(U11=0, "", SUMIFS($G$5:$G$1500, $A$5:$A$1500, N11))</f>
        <v/>
      </c>
      <c r="R11" s="102">
        <f>IF(U11=0, "", SUMIFS($H$5:$H$1500, $A$5:$A$1500, N11))</f>
        <v/>
      </c>
      <c r="S11" s="102">
        <f>IF(U11=0, "", SUMIFS($I$5:$I$1500, $A$5:$A$1500, N11))</f>
        <v/>
      </c>
      <c r="T11" s="101">
        <f>IF(U11=0, "", SUMIFS($J$5:$J$1500, $A$5:$A$1500, N11))</f>
        <v/>
      </c>
      <c r="U11" s="103">
        <f>COUNTIFS($A$5:$A$1500, N11)</f>
        <v/>
      </c>
      <c r="V11" s="104">
        <f>IF(U11=0, "CHƯA NHẬP", IF(U11&lt;3, "INCOMPLETE (Chưa đủ bữa)", "COMPLETE (Đầy đủ)"))</f>
        <v/>
      </c>
      <c r="W11" s="105">
        <f>IF(P11="", "", P11/'02_NUTRITION_SETUP'!$C$20)</f>
        <v/>
      </c>
      <c r="X11" s="105">
        <f>IF(Q11="", "", Q11/'02_NUTRITION_SETUP'!$C$21)</f>
        <v/>
      </c>
    </row>
    <row r="12" ht="22" customHeight="1">
      <c r="A12" s="57" t="n">
        <v>46314</v>
      </c>
      <c r="B12" s="7" t="inlineStr">
        <is>
          <t>Bữa trưa</t>
        </is>
      </c>
      <c r="C12" s="58" t="inlineStr">
        <is>
          <t>Rau muống luộc</t>
        </is>
      </c>
      <c r="D12" s="58" t="n">
        <v>150</v>
      </c>
      <c r="E12" s="7" t="inlineStr">
        <is>
          <t>g</t>
        </is>
      </c>
      <c r="F12" s="59">
        <f>IF(OR(C12="", D12=""), "", IFERROR(VLOOKUP(C12, '03_FOOD_DATABASE'!$B$5:$L$60, 6, FALSE)*D12/100, IFERROR(VLOOKUP(C12, '04_RECIPE_DATABASE'!$B$5:$M$20, 8, FALSE)*D12, 0)))</f>
        <v/>
      </c>
      <c r="G12" s="59">
        <f>IF(OR(C12="", D12=""), "", IFERROR(VLOOKUP(C12, '03_FOOD_DATABASE'!$B$5:$L$60, 7, FALSE)*D12/100, IFERROR(VLOOKUP(C12, '04_RECIPE_DATABASE'!$B$5:$M$20, 9, FALSE)*D12, 0)))</f>
        <v/>
      </c>
      <c r="H12" s="59">
        <f>IF(OR(C12="", D12=""), "", IFERROR(VLOOKUP(C12, '03_FOOD_DATABASE'!$B$5:$L$60, 8, FALSE)*D12/100, IFERROR(VLOOKUP(C12, '04_RECIPE_DATABASE'!$B$5:$M$20, 10, FALSE)*D12, 0)))</f>
        <v/>
      </c>
      <c r="I12" s="59">
        <f>IF(OR(C12="", D12=""), "", IFERROR(VLOOKUP(C12, '03_FOOD_DATABASE'!$B$5:$L$60, 9, FALSE)*D12/100, IFERROR(VLOOKUP(C12, '04_RECIPE_DATABASE'!$B$5:$M$20, 11, FALSE)*D12, 0)))</f>
        <v/>
      </c>
      <c r="J12" s="60">
        <f>IF(OR(C12="", D12=""), "", IFERROR(VLOOKUP(C12, '03_FOOD_DATABASE'!$B$5:$L$60, 11, FALSE)*D12/100, IFERROR(VLOOKUP(C12, '04_RECIPE_DATABASE'!$B$5:$M$20, 12, FALSE)*D12, 0)))</f>
        <v/>
      </c>
      <c r="K12" s="7" t="inlineStr">
        <is>
          <t>Ước lượng khẩu phần chuẩn</t>
        </is>
      </c>
      <c r="L12" s="58" t="inlineStr">
        <is>
          <t>1 đĩa rau muống</t>
        </is>
      </c>
      <c r="N12" s="99" t="n">
        <v>46321</v>
      </c>
      <c r="O12" s="100">
        <f>TEXT(N12, "dddd")</f>
        <v/>
      </c>
      <c r="P12" s="101">
        <f>IF(U12=0, "", SUMIFS($F$5:$F$1500, $A$5:$A$1500, N12))</f>
        <v/>
      </c>
      <c r="Q12" s="102">
        <f>IF(U12=0, "", SUMIFS($G$5:$G$1500, $A$5:$A$1500, N12))</f>
        <v/>
      </c>
      <c r="R12" s="102">
        <f>IF(U12=0, "", SUMIFS($H$5:$H$1500, $A$5:$A$1500, N12))</f>
        <v/>
      </c>
      <c r="S12" s="102">
        <f>IF(U12=0, "", SUMIFS($I$5:$I$1500, $A$5:$A$1500, N12))</f>
        <v/>
      </c>
      <c r="T12" s="101">
        <f>IF(U12=0, "", SUMIFS($J$5:$J$1500, $A$5:$A$1500, N12))</f>
        <v/>
      </c>
      <c r="U12" s="103">
        <f>COUNTIFS($A$5:$A$1500, N12)</f>
        <v/>
      </c>
      <c r="V12" s="104">
        <f>IF(U12=0, "CHƯA NHẬP", IF(U12&lt;3, "INCOMPLETE (Chưa đủ bữa)", "COMPLETE (Đầy đủ)"))</f>
        <v/>
      </c>
      <c r="W12" s="105">
        <f>IF(P12="", "", P12/'02_NUTRITION_SETUP'!$C$20)</f>
        <v/>
      </c>
      <c r="X12" s="105">
        <f>IF(Q12="", "", Q12/'02_NUTRITION_SETUP'!$C$21)</f>
        <v/>
      </c>
    </row>
    <row r="13" ht="22" customHeight="1">
      <c r="A13" s="57" t="n">
        <v>46314</v>
      </c>
      <c r="B13" s="7" t="inlineStr">
        <is>
          <t>Bữa phụ chiều</t>
        </is>
      </c>
      <c r="C13" s="58" t="inlineStr">
        <is>
          <t>[SAMPLE] Sinh Tố Mass Tự Làm (Home-made Shake)</t>
        </is>
      </c>
      <c r="D13" s="58" t="n">
        <v>1</v>
      </c>
      <c r="E13" s="7" t="inlineStr">
        <is>
          <t>suất</t>
        </is>
      </c>
      <c r="F13" s="59">
        <f>IF(OR(C13="", D13=""), "", IFERROR(VLOOKUP(C13, '03_FOOD_DATABASE'!$B$5:$L$60, 6, FALSE)*D13/100, IFERROR(VLOOKUP(C13, '04_RECIPE_DATABASE'!$B$5:$M$20, 8, FALSE)*D13, 0)))</f>
        <v/>
      </c>
      <c r="G13" s="59">
        <f>IF(OR(C13="", D13=""), "", IFERROR(VLOOKUP(C13, '03_FOOD_DATABASE'!$B$5:$L$60, 7, FALSE)*D13/100, IFERROR(VLOOKUP(C13, '04_RECIPE_DATABASE'!$B$5:$M$20, 9, FALSE)*D13, 0)))</f>
        <v/>
      </c>
      <c r="H13" s="59">
        <f>IF(OR(C13="", D13=""), "", IFERROR(VLOOKUP(C13, '03_FOOD_DATABASE'!$B$5:$L$60, 8, FALSE)*D13/100, IFERROR(VLOOKUP(C13, '04_RECIPE_DATABASE'!$B$5:$M$20, 10, FALSE)*D13, 0)))</f>
        <v/>
      </c>
      <c r="I13" s="59">
        <f>IF(OR(C13="", D13=""), "", IFERROR(VLOOKUP(C13, '03_FOOD_DATABASE'!$B$5:$L$60, 9, FALSE)*D13/100, IFERROR(VLOOKUP(C13, '04_RECIPE_DATABASE'!$B$5:$M$20, 11, FALSE)*D13, 0)))</f>
        <v/>
      </c>
      <c r="J13" s="60">
        <f>IF(OR(C13="", D13=""), "", IFERROR(VLOOKUP(C13, '03_FOOD_DATABASE'!$B$5:$L$60, 11, FALSE)*D13/100, IFERROR(VLOOKUP(C13, '04_RECIPE_DATABASE'!$B$5:$M$20, 12, FALSE)*D13, 0)))</f>
        <v/>
      </c>
      <c r="K13" s="7" t="inlineStr">
        <is>
          <t>Đã cân thực tế (Cân điện tử)</t>
        </is>
      </c>
      <c r="L13" s="58" t="inlineStr">
        <is>
          <t>Xay sinh tố trước tập</t>
        </is>
      </c>
      <c r="N13" s="99" t="n">
        <v>46322</v>
      </c>
      <c r="O13" s="100">
        <f>TEXT(N13, "dddd")</f>
        <v/>
      </c>
      <c r="P13" s="101">
        <f>IF(U13=0, "", SUMIFS($F$5:$F$1500, $A$5:$A$1500, N13))</f>
        <v/>
      </c>
      <c r="Q13" s="102">
        <f>IF(U13=0, "", SUMIFS($G$5:$G$1500, $A$5:$A$1500, N13))</f>
        <v/>
      </c>
      <c r="R13" s="102">
        <f>IF(U13=0, "", SUMIFS($H$5:$H$1500, $A$5:$A$1500, N13))</f>
        <v/>
      </c>
      <c r="S13" s="102">
        <f>IF(U13=0, "", SUMIFS($I$5:$I$1500, $A$5:$A$1500, N13))</f>
        <v/>
      </c>
      <c r="T13" s="101">
        <f>IF(U13=0, "", SUMIFS($J$5:$J$1500, $A$5:$A$1500, N13))</f>
        <v/>
      </c>
      <c r="U13" s="103">
        <f>COUNTIFS($A$5:$A$1500, N13)</f>
        <v/>
      </c>
      <c r="V13" s="104">
        <f>IF(U13=0, "CHƯA NHẬP", IF(U13&lt;3, "INCOMPLETE (Chưa đủ bữa)", "COMPLETE (Đầy đủ)"))</f>
        <v/>
      </c>
      <c r="W13" s="105">
        <f>IF(P13="", "", P13/'02_NUTRITION_SETUP'!$C$20)</f>
        <v/>
      </c>
      <c r="X13" s="105">
        <f>IF(Q13="", "", Q13/'02_NUTRITION_SETUP'!$C$21)</f>
        <v/>
      </c>
    </row>
    <row r="14" ht="22" customHeight="1">
      <c r="A14" s="57" t="n">
        <v>46314</v>
      </c>
      <c r="B14" s="7" t="inlineStr">
        <is>
          <t>Bữa tối</t>
        </is>
      </c>
      <c r="C14" s="58" t="inlineStr">
        <is>
          <t>Cơm trắng (nấu chín)</t>
        </is>
      </c>
      <c r="D14" s="58" t="n">
        <v>250</v>
      </c>
      <c r="E14" s="7" t="inlineStr">
        <is>
          <t>g</t>
        </is>
      </c>
      <c r="F14" s="59">
        <f>IF(OR(C14="", D14=""), "", IFERROR(VLOOKUP(C14, '03_FOOD_DATABASE'!$B$5:$L$60, 6, FALSE)*D14/100, IFERROR(VLOOKUP(C14, '04_RECIPE_DATABASE'!$B$5:$M$20, 8, FALSE)*D14, 0)))</f>
        <v/>
      </c>
      <c r="G14" s="59">
        <f>IF(OR(C14="", D14=""), "", IFERROR(VLOOKUP(C14, '03_FOOD_DATABASE'!$B$5:$L$60, 7, FALSE)*D14/100, IFERROR(VLOOKUP(C14, '04_RECIPE_DATABASE'!$B$5:$M$20, 9, FALSE)*D14, 0)))</f>
        <v/>
      </c>
      <c r="H14" s="59">
        <f>IF(OR(C14="", D14=""), "", IFERROR(VLOOKUP(C14, '03_FOOD_DATABASE'!$B$5:$L$60, 8, FALSE)*D14/100, IFERROR(VLOOKUP(C14, '04_RECIPE_DATABASE'!$B$5:$M$20, 10, FALSE)*D14, 0)))</f>
        <v/>
      </c>
      <c r="I14" s="59">
        <f>IF(OR(C14="", D14=""), "", IFERROR(VLOOKUP(C14, '03_FOOD_DATABASE'!$B$5:$L$60, 9, FALSE)*D14/100, IFERROR(VLOOKUP(C14, '04_RECIPE_DATABASE'!$B$5:$M$20, 11, FALSE)*D14, 0)))</f>
        <v/>
      </c>
      <c r="J14" s="60">
        <f>IF(OR(C14="", D14=""), "", IFERROR(VLOOKUP(C14, '03_FOOD_DATABASE'!$B$5:$L$60, 11, FALSE)*D14/100, IFERROR(VLOOKUP(C14, '04_RECIPE_DATABASE'!$B$5:$M$20, 12, FALSE)*D14, 0)))</f>
        <v/>
      </c>
      <c r="K14" s="7" t="inlineStr">
        <is>
          <t>Đã cân thực tế (Cân điện tử)</t>
        </is>
      </c>
      <c r="L14" s="58" t="inlineStr">
        <is>
          <t>Cơm nóng</t>
        </is>
      </c>
      <c r="N14" s="99" t="n">
        <v>46323</v>
      </c>
      <c r="O14" s="100">
        <f>TEXT(N14, "dddd")</f>
        <v/>
      </c>
      <c r="P14" s="101">
        <f>IF(U14=0, "", SUMIFS($F$5:$F$1500, $A$5:$A$1500, N14))</f>
        <v/>
      </c>
      <c r="Q14" s="102">
        <f>IF(U14=0, "", SUMIFS($G$5:$G$1500, $A$5:$A$1500, N14))</f>
        <v/>
      </c>
      <c r="R14" s="102">
        <f>IF(U14=0, "", SUMIFS($H$5:$H$1500, $A$5:$A$1500, N14))</f>
        <v/>
      </c>
      <c r="S14" s="102">
        <f>IF(U14=0, "", SUMIFS($I$5:$I$1500, $A$5:$A$1500, N14))</f>
        <v/>
      </c>
      <c r="T14" s="101">
        <f>IF(U14=0, "", SUMIFS($J$5:$J$1500, $A$5:$A$1500, N14))</f>
        <v/>
      </c>
      <c r="U14" s="103">
        <f>COUNTIFS($A$5:$A$1500, N14)</f>
        <v/>
      </c>
      <c r="V14" s="104">
        <f>IF(U14=0, "CHƯA NHẬP", IF(U14&lt;3, "INCOMPLETE (Chưa đủ bữa)", "COMPLETE (Đầy đủ)"))</f>
        <v/>
      </c>
      <c r="W14" s="105">
        <f>IF(P14="", "", P14/'02_NUTRITION_SETUP'!$C$20)</f>
        <v/>
      </c>
      <c r="X14" s="105">
        <f>IF(Q14="", "", Q14/'02_NUTRITION_SETUP'!$C$21)</f>
        <v/>
      </c>
    </row>
    <row r="15" ht="22" customHeight="1">
      <c r="A15" s="57" t="n">
        <v>46314</v>
      </c>
      <c r="B15" s="7" t="inlineStr">
        <is>
          <t>Bữa tối</t>
        </is>
      </c>
      <c r="C15" s="58" t="inlineStr">
        <is>
          <t>Thịt heo nạc luộc</t>
        </is>
      </c>
      <c r="D15" s="58" t="n">
        <v>120</v>
      </c>
      <c r="E15" s="7" t="inlineStr">
        <is>
          <t>g</t>
        </is>
      </c>
      <c r="F15" s="59">
        <f>IF(OR(C15="", D15=""), "", IFERROR(VLOOKUP(C15, '03_FOOD_DATABASE'!$B$5:$L$60, 6, FALSE)*D15/100, IFERROR(VLOOKUP(C15, '04_RECIPE_DATABASE'!$B$5:$M$20, 8, FALSE)*D15, 0)))</f>
        <v/>
      </c>
      <c r="G15" s="59">
        <f>IF(OR(C15="", D15=""), "", IFERROR(VLOOKUP(C15, '03_FOOD_DATABASE'!$B$5:$L$60, 7, FALSE)*D15/100, IFERROR(VLOOKUP(C15, '04_RECIPE_DATABASE'!$B$5:$M$20, 9, FALSE)*D15, 0)))</f>
        <v/>
      </c>
      <c r="H15" s="59">
        <f>IF(OR(C15="", D15=""), "", IFERROR(VLOOKUP(C15, '03_FOOD_DATABASE'!$B$5:$L$60, 8, FALSE)*D15/100, IFERROR(VLOOKUP(C15, '04_RECIPE_DATABASE'!$B$5:$M$20, 10, FALSE)*D15, 0)))</f>
        <v/>
      </c>
      <c r="I15" s="59">
        <f>IF(OR(C15="", D15=""), "", IFERROR(VLOOKUP(C15, '03_FOOD_DATABASE'!$B$5:$L$60, 9, FALSE)*D15/100, IFERROR(VLOOKUP(C15, '04_RECIPE_DATABASE'!$B$5:$M$20, 11, FALSE)*D15, 0)))</f>
        <v/>
      </c>
      <c r="J15" s="60">
        <f>IF(OR(C15="", D15=""), "", IFERROR(VLOOKUP(C15, '03_FOOD_DATABASE'!$B$5:$L$60, 11, FALSE)*D15/100, IFERROR(VLOOKUP(C15, '04_RECIPE_DATABASE'!$B$5:$M$20, 12, FALSE)*D15, 0)))</f>
        <v/>
      </c>
      <c r="K15" s="7" t="inlineStr">
        <is>
          <t>Đã cân thực tế (Cân điện tử)</t>
        </is>
      </c>
      <c r="L15" s="58" t="inlineStr">
        <is>
          <t>Thịt nạc thăn</t>
        </is>
      </c>
      <c r="N15" s="99" t="n">
        <v>46324</v>
      </c>
      <c r="O15" s="100">
        <f>TEXT(N15, "dddd")</f>
        <v/>
      </c>
      <c r="P15" s="101">
        <f>IF(U15=0, "", SUMIFS($F$5:$F$1500, $A$5:$A$1500, N15))</f>
        <v/>
      </c>
      <c r="Q15" s="102">
        <f>IF(U15=0, "", SUMIFS($G$5:$G$1500, $A$5:$A$1500, N15))</f>
        <v/>
      </c>
      <c r="R15" s="102">
        <f>IF(U15=0, "", SUMIFS($H$5:$H$1500, $A$5:$A$1500, N15))</f>
        <v/>
      </c>
      <c r="S15" s="102">
        <f>IF(U15=0, "", SUMIFS($I$5:$I$1500, $A$5:$A$1500, N15))</f>
        <v/>
      </c>
      <c r="T15" s="101">
        <f>IF(U15=0, "", SUMIFS($J$5:$J$1500, $A$5:$A$1500, N15))</f>
        <v/>
      </c>
      <c r="U15" s="103">
        <f>COUNTIFS($A$5:$A$1500, N15)</f>
        <v/>
      </c>
      <c r="V15" s="104">
        <f>IF(U15=0, "CHƯA NHẬP", IF(U15&lt;3, "INCOMPLETE (Chưa đủ bữa)", "COMPLETE (Đầy đủ)"))</f>
        <v/>
      </c>
      <c r="W15" s="105">
        <f>IF(P15="", "", P15/'02_NUTRITION_SETUP'!$C$20)</f>
        <v/>
      </c>
      <c r="X15" s="105">
        <f>IF(Q15="", "", Q15/'02_NUTRITION_SETUP'!$C$21)</f>
        <v/>
      </c>
    </row>
    <row r="16" ht="22" customHeight="1">
      <c r="A16" s="57" t="n">
        <v>46314</v>
      </c>
      <c r="B16" s="7" t="inlineStr">
        <is>
          <t>Bữa tối</t>
        </is>
      </c>
      <c r="C16" s="58" t="inlineStr">
        <is>
          <t>Đậu phụ trắng (Tofu)</t>
        </is>
      </c>
      <c r="D16" s="58" t="n">
        <v>100</v>
      </c>
      <c r="E16" s="7" t="inlineStr">
        <is>
          <t>g</t>
        </is>
      </c>
      <c r="F16" s="59">
        <f>IF(OR(C16="", D16=""), "", IFERROR(VLOOKUP(C16, '03_FOOD_DATABASE'!$B$5:$L$60, 6, FALSE)*D16/100, IFERROR(VLOOKUP(C16, '04_RECIPE_DATABASE'!$B$5:$M$20, 8, FALSE)*D16, 0)))</f>
        <v/>
      </c>
      <c r="G16" s="59">
        <f>IF(OR(C16="", D16=""), "", IFERROR(VLOOKUP(C16, '03_FOOD_DATABASE'!$B$5:$L$60, 7, FALSE)*D16/100, IFERROR(VLOOKUP(C16, '04_RECIPE_DATABASE'!$B$5:$M$20, 9, FALSE)*D16, 0)))</f>
        <v/>
      </c>
      <c r="H16" s="59">
        <f>IF(OR(C16="", D16=""), "", IFERROR(VLOOKUP(C16, '03_FOOD_DATABASE'!$B$5:$L$60, 8, FALSE)*D16/100, IFERROR(VLOOKUP(C16, '04_RECIPE_DATABASE'!$B$5:$M$20, 10, FALSE)*D16, 0)))</f>
        <v/>
      </c>
      <c r="I16" s="59">
        <f>IF(OR(C16="", D16=""), "", IFERROR(VLOOKUP(C16, '03_FOOD_DATABASE'!$B$5:$L$60, 9, FALSE)*D16/100, IFERROR(VLOOKUP(C16, '04_RECIPE_DATABASE'!$B$5:$M$20, 11, FALSE)*D16, 0)))</f>
        <v/>
      </c>
      <c r="J16" s="60">
        <f>IF(OR(C16="", D16=""), "", IFERROR(VLOOKUP(C16, '03_FOOD_DATABASE'!$B$5:$L$60, 11, FALSE)*D16/100, IFERROR(VLOOKUP(C16, '04_RECIPE_DATABASE'!$B$5:$M$20, 12, FALSE)*D16, 0)))</f>
        <v/>
      </c>
      <c r="K16" s="7" t="inlineStr">
        <is>
          <t>Đã cân thực tế (Cân điện tử)</t>
        </is>
      </c>
      <c r="L16" s="58" t="inlineStr">
        <is>
          <t>1 bìa đậu phụ nhỏ</t>
        </is>
      </c>
      <c r="N16" s="99" t="n">
        <v>46325</v>
      </c>
      <c r="O16" s="100">
        <f>TEXT(N16, "dddd")</f>
        <v/>
      </c>
      <c r="P16" s="101">
        <f>IF(U16=0, "", SUMIFS($F$5:$F$1500, $A$5:$A$1500, N16))</f>
        <v/>
      </c>
      <c r="Q16" s="102">
        <f>IF(U16=0, "", SUMIFS($G$5:$G$1500, $A$5:$A$1500, N16))</f>
        <v/>
      </c>
      <c r="R16" s="102">
        <f>IF(U16=0, "", SUMIFS($H$5:$H$1500, $A$5:$A$1500, N16))</f>
        <v/>
      </c>
      <c r="S16" s="102">
        <f>IF(U16=0, "", SUMIFS($I$5:$I$1500, $A$5:$A$1500, N16))</f>
        <v/>
      </c>
      <c r="T16" s="101">
        <f>IF(U16=0, "", SUMIFS($J$5:$J$1500, $A$5:$A$1500, N16))</f>
        <v/>
      </c>
      <c r="U16" s="103">
        <f>COUNTIFS($A$5:$A$1500, N16)</f>
        <v/>
      </c>
      <c r="V16" s="104">
        <f>IF(U16=0, "CHƯA NHẬP", IF(U16&lt;3, "INCOMPLETE (Chưa đủ bữa)", "COMPLETE (Đầy đủ)"))</f>
        <v/>
      </c>
      <c r="W16" s="105">
        <f>IF(P16="", "", P16/'02_NUTRITION_SETUP'!$C$20)</f>
        <v/>
      </c>
      <c r="X16" s="105">
        <f>IF(Q16="", "", Q16/'02_NUTRITION_SETUP'!$C$21)</f>
        <v/>
      </c>
    </row>
    <row r="17" ht="22" customHeight="1">
      <c r="A17" s="57" t="n"/>
      <c r="B17" s="7" t="n"/>
      <c r="C17" s="58" t="n"/>
      <c r="D17" s="58" t="n"/>
      <c r="E17" s="7" t="n"/>
      <c r="F17" s="106">
        <f>IF(OR(C17="", D17=""), "", IFERROR(VLOOKUP(C17, '03_FOOD_DATABASE'!$B$5:$L$60, 6, FALSE)*D17/100, IFERROR(VLOOKUP(C17, '04_RECIPE_DATABASE'!$B$5:$M$20, 8, FALSE)*D17, 0)))</f>
        <v/>
      </c>
      <c r="G17" s="107">
        <f>IF(OR(C17="", D17=""), "", IFERROR(VLOOKUP(C17, '03_FOOD_DATABASE'!$B$5:$L$60, 7, FALSE)*D17/100, IFERROR(VLOOKUP(C17, '04_RECIPE_DATABASE'!$B$5:$M$20, 9, FALSE)*D17, 0)))</f>
        <v/>
      </c>
      <c r="H17" s="107">
        <f>IF(OR(C17="", D17=""), "", IFERROR(VLOOKUP(C17, '03_FOOD_DATABASE'!$B$5:$L$60, 8, FALSE)*D17/100, IFERROR(VLOOKUP(C17, '04_RECIPE_DATABASE'!$B$5:$M$20, 10, FALSE)*D17, 0)))</f>
        <v/>
      </c>
      <c r="I17" s="107">
        <f>IF(OR(C17="", D17=""), "", IFERROR(VLOOKUP(C17, '03_FOOD_DATABASE'!$B$5:$L$60, 9, FALSE)*D17/100, IFERROR(VLOOKUP(C17, '04_RECIPE_DATABASE'!$B$5:$M$20, 11, FALSE)*D17, 0)))</f>
        <v/>
      </c>
      <c r="J17" s="106">
        <f>IF(OR(C17="", D17=""), "", IFERROR(VLOOKUP(C17, '03_FOOD_DATABASE'!$B$5:$L$60, 11, FALSE)*D17/100, IFERROR(VLOOKUP(C17, '04_RECIPE_DATABASE'!$B$5:$M$20, 12, FALSE)*D17, 0)))</f>
        <v/>
      </c>
      <c r="K17" s="7" t="n"/>
      <c r="L17" s="58" t="n"/>
      <c r="N17" s="99" t="n">
        <v>46326</v>
      </c>
      <c r="O17" s="100">
        <f>TEXT(N17, "dddd")</f>
        <v/>
      </c>
      <c r="P17" s="101">
        <f>IF(U17=0, "", SUMIFS($F$5:$F$1500, $A$5:$A$1500, N17))</f>
        <v/>
      </c>
      <c r="Q17" s="102">
        <f>IF(U17=0, "", SUMIFS($G$5:$G$1500, $A$5:$A$1500, N17))</f>
        <v/>
      </c>
      <c r="R17" s="102">
        <f>IF(U17=0, "", SUMIFS($H$5:$H$1500, $A$5:$A$1500, N17))</f>
        <v/>
      </c>
      <c r="S17" s="102">
        <f>IF(U17=0, "", SUMIFS($I$5:$I$1500, $A$5:$A$1500, N17))</f>
        <v/>
      </c>
      <c r="T17" s="101">
        <f>IF(U17=0, "", SUMIFS($J$5:$J$1500, $A$5:$A$1500, N17))</f>
        <v/>
      </c>
      <c r="U17" s="103">
        <f>COUNTIFS($A$5:$A$1500, N17)</f>
        <v/>
      </c>
      <c r="V17" s="104">
        <f>IF(U17=0, "CHƯA NHẬP", IF(U17&lt;3, "INCOMPLETE (Chưa đủ bữa)", "COMPLETE (Đầy đủ)"))</f>
        <v/>
      </c>
      <c r="W17" s="105">
        <f>IF(P17="", "", P17/'02_NUTRITION_SETUP'!$C$20)</f>
        <v/>
      </c>
      <c r="X17" s="105">
        <f>IF(Q17="", "", Q17/'02_NUTRITION_SETUP'!$C$21)</f>
        <v/>
      </c>
    </row>
    <row r="18" ht="22" customHeight="1">
      <c r="A18" s="57" t="n"/>
      <c r="B18" s="7" t="n"/>
      <c r="C18" s="58" t="n"/>
      <c r="D18" s="58" t="n"/>
      <c r="E18" s="7" t="n"/>
      <c r="F18" s="106">
        <f>IF(OR(C18="", D18=""), "", IFERROR(VLOOKUP(C18, '03_FOOD_DATABASE'!$B$5:$L$60, 6, FALSE)*D18/100, IFERROR(VLOOKUP(C18, '04_RECIPE_DATABASE'!$B$5:$M$20, 8, FALSE)*D18, 0)))</f>
        <v/>
      </c>
      <c r="G18" s="107">
        <f>IF(OR(C18="", D18=""), "", IFERROR(VLOOKUP(C18, '03_FOOD_DATABASE'!$B$5:$L$60, 7, FALSE)*D18/100, IFERROR(VLOOKUP(C18, '04_RECIPE_DATABASE'!$B$5:$M$20, 9, FALSE)*D18, 0)))</f>
        <v/>
      </c>
      <c r="H18" s="107">
        <f>IF(OR(C18="", D18=""), "", IFERROR(VLOOKUP(C18, '03_FOOD_DATABASE'!$B$5:$L$60, 8, FALSE)*D18/100, IFERROR(VLOOKUP(C18, '04_RECIPE_DATABASE'!$B$5:$M$20, 10, FALSE)*D18, 0)))</f>
        <v/>
      </c>
      <c r="I18" s="107">
        <f>IF(OR(C18="", D18=""), "", IFERROR(VLOOKUP(C18, '03_FOOD_DATABASE'!$B$5:$L$60, 9, FALSE)*D18/100, IFERROR(VLOOKUP(C18, '04_RECIPE_DATABASE'!$B$5:$M$20, 11, FALSE)*D18, 0)))</f>
        <v/>
      </c>
      <c r="J18" s="106">
        <f>IF(OR(C18="", D18=""), "", IFERROR(VLOOKUP(C18, '03_FOOD_DATABASE'!$B$5:$L$60, 11, FALSE)*D18/100, IFERROR(VLOOKUP(C18, '04_RECIPE_DATABASE'!$B$5:$M$20, 12, FALSE)*D18, 0)))</f>
        <v/>
      </c>
      <c r="K18" s="7" t="n"/>
      <c r="L18" s="58" t="n"/>
      <c r="N18" s="99" t="n">
        <v>46327</v>
      </c>
      <c r="O18" s="100">
        <f>TEXT(N18, "dddd")</f>
        <v/>
      </c>
      <c r="P18" s="101">
        <f>IF(U18=0, "", SUMIFS($F$5:$F$1500, $A$5:$A$1500, N18))</f>
        <v/>
      </c>
      <c r="Q18" s="102">
        <f>IF(U18=0, "", SUMIFS($G$5:$G$1500, $A$5:$A$1500, N18))</f>
        <v/>
      </c>
      <c r="R18" s="102">
        <f>IF(U18=0, "", SUMIFS($H$5:$H$1500, $A$5:$A$1500, N18))</f>
        <v/>
      </c>
      <c r="S18" s="102">
        <f>IF(U18=0, "", SUMIFS($I$5:$I$1500, $A$5:$A$1500, N18))</f>
        <v/>
      </c>
      <c r="T18" s="101">
        <f>IF(U18=0, "", SUMIFS($J$5:$J$1500, $A$5:$A$1500, N18))</f>
        <v/>
      </c>
      <c r="U18" s="103">
        <f>COUNTIFS($A$5:$A$1500, N18)</f>
        <v/>
      </c>
      <c r="V18" s="104">
        <f>IF(U18=0, "CHƯA NHẬP", IF(U18&lt;3, "INCOMPLETE (Chưa đủ bữa)", "COMPLETE (Đầy đủ)"))</f>
        <v/>
      </c>
      <c r="W18" s="105">
        <f>IF(P18="", "", P18/'02_NUTRITION_SETUP'!$C$20)</f>
        <v/>
      </c>
      <c r="X18" s="105">
        <f>IF(Q18="", "", Q18/'02_NUTRITION_SETUP'!$C$21)</f>
        <v/>
      </c>
    </row>
    <row r="19" ht="22" customHeight="1">
      <c r="A19" s="57" t="n"/>
      <c r="B19" s="7" t="n"/>
      <c r="C19" s="58" t="n"/>
      <c r="D19" s="58" t="n"/>
      <c r="E19" s="7" t="n"/>
      <c r="F19" s="106">
        <f>IF(OR(C19="", D19=""), "", IFERROR(VLOOKUP(C19, '03_FOOD_DATABASE'!$B$5:$L$60, 6, FALSE)*D19/100, IFERROR(VLOOKUP(C19, '04_RECIPE_DATABASE'!$B$5:$M$20, 8, FALSE)*D19, 0)))</f>
        <v/>
      </c>
      <c r="G19" s="107">
        <f>IF(OR(C19="", D19=""), "", IFERROR(VLOOKUP(C19, '03_FOOD_DATABASE'!$B$5:$L$60, 7, FALSE)*D19/100, IFERROR(VLOOKUP(C19, '04_RECIPE_DATABASE'!$B$5:$M$20, 9, FALSE)*D19, 0)))</f>
        <v/>
      </c>
      <c r="H19" s="107">
        <f>IF(OR(C19="", D19=""), "", IFERROR(VLOOKUP(C19, '03_FOOD_DATABASE'!$B$5:$L$60, 8, FALSE)*D19/100, IFERROR(VLOOKUP(C19, '04_RECIPE_DATABASE'!$B$5:$M$20, 10, FALSE)*D19, 0)))</f>
        <v/>
      </c>
      <c r="I19" s="107">
        <f>IF(OR(C19="", D19=""), "", IFERROR(VLOOKUP(C19, '03_FOOD_DATABASE'!$B$5:$L$60, 9, FALSE)*D19/100, IFERROR(VLOOKUP(C19, '04_RECIPE_DATABASE'!$B$5:$M$20, 11, FALSE)*D19, 0)))</f>
        <v/>
      </c>
      <c r="J19" s="106">
        <f>IF(OR(C19="", D19=""), "", IFERROR(VLOOKUP(C19, '03_FOOD_DATABASE'!$B$5:$L$60, 11, FALSE)*D19/100, IFERROR(VLOOKUP(C19, '04_RECIPE_DATABASE'!$B$5:$M$20, 12, FALSE)*D19, 0)))</f>
        <v/>
      </c>
      <c r="K19" s="7" t="n"/>
      <c r="L19" s="58" t="n"/>
      <c r="N19" s="99" t="n">
        <v>46328</v>
      </c>
      <c r="O19" s="100">
        <f>TEXT(N19, "dddd")</f>
        <v/>
      </c>
      <c r="P19" s="101">
        <f>IF(U19=0, "", SUMIFS($F$5:$F$1500, $A$5:$A$1500, N19))</f>
        <v/>
      </c>
      <c r="Q19" s="102">
        <f>IF(U19=0, "", SUMIFS($G$5:$G$1500, $A$5:$A$1500, N19))</f>
        <v/>
      </c>
      <c r="R19" s="102">
        <f>IF(U19=0, "", SUMIFS($H$5:$H$1500, $A$5:$A$1500, N19))</f>
        <v/>
      </c>
      <c r="S19" s="102">
        <f>IF(U19=0, "", SUMIFS($I$5:$I$1500, $A$5:$A$1500, N19))</f>
        <v/>
      </c>
      <c r="T19" s="101">
        <f>IF(U19=0, "", SUMIFS($J$5:$J$1500, $A$5:$A$1500, N19))</f>
        <v/>
      </c>
      <c r="U19" s="103">
        <f>COUNTIFS($A$5:$A$1500, N19)</f>
        <v/>
      </c>
      <c r="V19" s="104">
        <f>IF(U19=0, "CHƯA NHẬP", IF(U19&lt;3, "INCOMPLETE (Chưa đủ bữa)", "COMPLETE (Đầy đủ)"))</f>
        <v/>
      </c>
      <c r="W19" s="105">
        <f>IF(P19="", "", P19/'02_NUTRITION_SETUP'!$C$20)</f>
        <v/>
      </c>
      <c r="X19" s="105">
        <f>IF(Q19="", "", Q19/'02_NUTRITION_SETUP'!$C$21)</f>
        <v/>
      </c>
    </row>
    <row r="20" ht="22" customHeight="1">
      <c r="A20" s="57" t="n"/>
      <c r="B20" s="7" t="n"/>
      <c r="C20" s="58" t="n"/>
      <c r="D20" s="58" t="n"/>
      <c r="E20" s="7" t="n"/>
      <c r="F20" s="106">
        <f>IF(OR(C20="", D20=""), "", IFERROR(VLOOKUP(C20, '03_FOOD_DATABASE'!$B$5:$L$60, 6, FALSE)*D20/100, IFERROR(VLOOKUP(C20, '04_RECIPE_DATABASE'!$B$5:$M$20, 8, FALSE)*D20, 0)))</f>
        <v/>
      </c>
      <c r="G20" s="107">
        <f>IF(OR(C20="", D20=""), "", IFERROR(VLOOKUP(C20, '03_FOOD_DATABASE'!$B$5:$L$60, 7, FALSE)*D20/100, IFERROR(VLOOKUP(C20, '04_RECIPE_DATABASE'!$B$5:$M$20, 9, FALSE)*D20, 0)))</f>
        <v/>
      </c>
      <c r="H20" s="107">
        <f>IF(OR(C20="", D20=""), "", IFERROR(VLOOKUP(C20, '03_FOOD_DATABASE'!$B$5:$L$60, 8, FALSE)*D20/100, IFERROR(VLOOKUP(C20, '04_RECIPE_DATABASE'!$B$5:$M$20, 10, FALSE)*D20, 0)))</f>
        <v/>
      </c>
      <c r="I20" s="107">
        <f>IF(OR(C20="", D20=""), "", IFERROR(VLOOKUP(C20, '03_FOOD_DATABASE'!$B$5:$L$60, 9, FALSE)*D20/100, IFERROR(VLOOKUP(C20, '04_RECIPE_DATABASE'!$B$5:$M$20, 11, FALSE)*D20, 0)))</f>
        <v/>
      </c>
      <c r="J20" s="106">
        <f>IF(OR(C20="", D20=""), "", IFERROR(VLOOKUP(C20, '03_FOOD_DATABASE'!$B$5:$L$60, 11, FALSE)*D20/100, IFERROR(VLOOKUP(C20, '04_RECIPE_DATABASE'!$B$5:$M$20, 12, FALSE)*D20, 0)))</f>
        <v/>
      </c>
      <c r="K20" s="7" t="n"/>
      <c r="L20" s="58" t="n"/>
      <c r="N20" s="99" t="n">
        <v>46329</v>
      </c>
      <c r="O20" s="100">
        <f>TEXT(N20, "dddd")</f>
        <v/>
      </c>
      <c r="P20" s="101">
        <f>IF(U20=0, "", SUMIFS($F$5:$F$1500, $A$5:$A$1500, N20))</f>
        <v/>
      </c>
      <c r="Q20" s="102">
        <f>IF(U20=0, "", SUMIFS($G$5:$G$1500, $A$5:$A$1500, N20))</f>
        <v/>
      </c>
      <c r="R20" s="102">
        <f>IF(U20=0, "", SUMIFS($H$5:$H$1500, $A$5:$A$1500, N20))</f>
        <v/>
      </c>
      <c r="S20" s="102">
        <f>IF(U20=0, "", SUMIFS($I$5:$I$1500, $A$5:$A$1500, N20))</f>
        <v/>
      </c>
      <c r="T20" s="101">
        <f>IF(U20=0, "", SUMIFS($J$5:$J$1500, $A$5:$A$1500, N20))</f>
        <v/>
      </c>
      <c r="U20" s="103">
        <f>COUNTIFS($A$5:$A$1500, N20)</f>
        <v/>
      </c>
      <c r="V20" s="104">
        <f>IF(U20=0, "CHƯA NHẬP", IF(U20&lt;3, "INCOMPLETE (Chưa đủ bữa)", "COMPLETE (Đầy đủ)"))</f>
        <v/>
      </c>
      <c r="W20" s="105">
        <f>IF(P20="", "", P20/'02_NUTRITION_SETUP'!$C$20)</f>
        <v/>
      </c>
      <c r="X20" s="105">
        <f>IF(Q20="", "", Q20/'02_NUTRITION_SETUP'!$C$21)</f>
        <v/>
      </c>
    </row>
    <row r="21" ht="22" customHeight="1">
      <c r="A21" s="57" t="n"/>
      <c r="B21" s="7" t="n"/>
      <c r="C21" s="58" t="n"/>
      <c r="D21" s="58" t="n"/>
      <c r="E21" s="7" t="n"/>
      <c r="F21" s="106">
        <f>IF(OR(C21="", D21=""), "", IFERROR(VLOOKUP(C21, '03_FOOD_DATABASE'!$B$5:$L$60, 6, FALSE)*D21/100, IFERROR(VLOOKUP(C21, '04_RECIPE_DATABASE'!$B$5:$M$20, 8, FALSE)*D21, 0)))</f>
        <v/>
      </c>
      <c r="G21" s="107">
        <f>IF(OR(C21="", D21=""), "", IFERROR(VLOOKUP(C21, '03_FOOD_DATABASE'!$B$5:$L$60, 7, FALSE)*D21/100, IFERROR(VLOOKUP(C21, '04_RECIPE_DATABASE'!$B$5:$M$20, 9, FALSE)*D21, 0)))</f>
        <v/>
      </c>
      <c r="H21" s="107">
        <f>IF(OR(C21="", D21=""), "", IFERROR(VLOOKUP(C21, '03_FOOD_DATABASE'!$B$5:$L$60, 8, FALSE)*D21/100, IFERROR(VLOOKUP(C21, '04_RECIPE_DATABASE'!$B$5:$M$20, 10, FALSE)*D21, 0)))</f>
        <v/>
      </c>
      <c r="I21" s="107">
        <f>IF(OR(C21="", D21=""), "", IFERROR(VLOOKUP(C21, '03_FOOD_DATABASE'!$B$5:$L$60, 9, FALSE)*D21/100, IFERROR(VLOOKUP(C21, '04_RECIPE_DATABASE'!$B$5:$M$20, 11, FALSE)*D21, 0)))</f>
        <v/>
      </c>
      <c r="J21" s="106">
        <f>IF(OR(C21="", D21=""), "", IFERROR(VLOOKUP(C21, '03_FOOD_DATABASE'!$B$5:$L$60, 11, FALSE)*D21/100, IFERROR(VLOOKUP(C21, '04_RECIPE_DATABASE'!$B$5:$M$20, 12, FALSE)*D21, 0)))</f>
        <v/>
      </c>
      <c r="K21" s="7" t="n"/>
      <c r="L21" s="58" t="n"/>
      <c r="N21" s="99" t="n">
        <v>46330</v>
      </c>
      <c r="O21" s="100">
        <f>TEXT(N21, "dddd")</f>
        <v/>
      </c>
      <c r="P21" s="101">
        <f>IF(U21=0, "", SUMIFS($F$5:$F$1500, $A$5:$A$1500, N21))</f>
        <v/>
      </c>
      <c r="Q21" s="102">
        <f>IF(U21=0, "", SUMIFS($G$5:$G$1500, $A$5:$A$1500, N21))</f>
        <v/>
      </c>
      <c r="R21" s="102">
        <f>IF(U21=0, "", SUMIFS($H$5:$H$1500, $A$5:$A$1500, N21))</f>
        <v/>
      </c>
      <c r="S21" s="102">
        <f>IF(U21=0, "", SUMIFS($I$5:$I$1500, $A$5:$A$1500, N21))</f>
        <v/>
      </c>
      <c r="T21" s="101">
        <f>IF(U21=0, "", SUMIFS($J$5:$J$1500, $A$5:$A$1500, N21))</f>
        <v/>
      </c>
      <c r="U21" s="103">
        <f>COUNTIFS($A$5:$A$1500, N21)</f>
        <v/>
      </c>
      <c r="V21" s="104">
        <f>IF(U21=0, "CHƯA NHẬP", IF(U21&lt;3, "INCOMPLETE (Chưa đủ bữa)", "COMPLETE (Đầy đủ)"))</f>
        <v/>
      </c>
      <c r="W21" s="105">
        <f>IF(P21="", "", P21/'02_NUTRITION_SETUP'!$C$20)</f>
        <v/>
      </c>
      <c r="X21" s="105">
        <f>IF(Q21="", "", Q21/'02_NUTRITION_SETUP'!$C$21)</f>
        <v/>
      </c>
    </row>
    <row r="22" ht="22" customHeight="1">
      <c r="A22" s="57" t="n"/>
      <c r="B22" s="7" t="n"/>
      <c r="C22" s="58" t="n"/>
      <c r="D22" s="58" t="n"/>
      <c r="E22" s="7" t="n"/>
      <c r="F22" s="106">
        <f>IF(OR(C22="", D22=""), "", IFERROR(VLOOKUP(C22, '03_FOOD_DATABASE'!$B$5:$L$60, 6, FALSE)*D22/100, IFERROR(VLOOKUP(C22, '04_RECIPE_DATABASE'!$B$5:$M$20, 8, FALSE)*D22, 0)))</f>
        <v/>
      </c>
      <c r="G22" s="107">
        <f>IF(OR(C22="", D22=""), "", IFERROR(VLOOKUP(C22, '03_FOOD_DATABASE'!$B$5:$L$60, 7, FALSE)*D22/100, IFERROR(VLOOKUP(C22, '04_RECIPE_DATABASE'!$B$5:$M$20, 9, FALSE)*D22, 0)))</f>
        <v/>
      </c>
      <c r="H22" s="107">
        <f>IF(OR(C22="", D22=""), "", IFERROR(VLOOKUP(C22, '03_FOOD_DATABASE'!$B$5:$L$60, 8, FALSE)*D22/100, IFERROR(VLOOKUP(C22, '04_RECIPE_DATABASE'!$B$5:$M$20, 10, FALSE)*D22, 0)))</f>
        <v/>
      </c>
      <c r="I22" s="107">
        <f>IF(OR(C22="", D22=""), "", IFERROR(VLOOKUP(C22, '03_FOOD_DATABASE'!$B$5:$L$60, 9, FALSE)*D22/100, IFERROR(VLOOKUP(C22, '04_RECIPE_DATABASE'!$B$5:$M$20, 11, FALSE)*D22, 0)))</f>
        <v/>
      </c>
      <c r="J22" s="106">
        <f>IF(OR(C22="", D22=""), "", IFERROR(VLOOKUP(C22, '03_FOOD_DATABASE'!$B$5:$L$60, 11, FALSE)*D22/100, IFERROR(VLOOKUP(C22, '04_RECIPE_DATABASE'!$B$5:$M$20, 12, FALSE)*D22, 0)))</f>
        <v/>
      </c>
      <c r="K22" s="7" t="n"/>
      <c r="L22" s="58" t="n"/>
      <c r="N22" s="99" t="n">
        <v>46331</v>
      </c>
      <c r="O22" s="100">
        <f>TEXT(N22, "dddd")</f>
        <v/>
      </c>
      <c r="P22" s="101">
        <f>IF(U22=0, "", SUMIFS($F$5:$F$1500, $A$5:$A$1500, N22))</f>
        <v/>
      </c>
      <c r="Q22" s="102">
        <f>IF(U22=0, "", SUMIFS($G$5:$G$1500, $A$5:$A$1500, N22))</f>
        <v/>
      </c>
      <c r="R22" s="102">
        <f>IF(U22=0, "", SUMIFS($H$5:$H$1500, $A$5:$A$1500, N22))</f>
        <v/>
      </c>
      <c r="S22" s="102">
        <f>IF(U22=0, "", SUMIFS($I$5:$I$1500, $A$5:$A$1500, N22))</f>
        <v/>
      </c>
      <c r="T22" s="101">
        <f>IF(U22=0, "", SUMIFS($J$5:$J$1500, $A$5:$A$1500, N22))</f>
        <v/>
      </c>
      <c r="U22" s="103">
        <f>COUNTIFS($A$5:$A$1500, N22)</f>
        <v/>
      </c>
      <c r="V22" s="104">
        <f>IF(U22=0, "CHƯA NHẬP", IF(U22&lt;3, "INCOMPLETE (Chưa đủ bữa)", "COMPLETE (Đầy đủ)"))</f>
        <v/>
      </c>
      <c r="W22" s="105">
        <f>IF(P22="", "", P22/'02_NUTRITION_SETUP'!$C$20)</f>
        <v/>
      </c>
      <c r="X22" s="105">
        <f>IF(Q22="", "", Q22/'02_NUTRITION_SETUP'!$C$21)</f>
        <v/>
      </c>
    </row>
    <row r="23" ht="22" customHeight="1">
      <c r="A23" s="57" t="n"/>
      <c r="B23" s="7" t="n"/>
      <c r="C23" s="58" t="n"/>
      <c r="D23" s="58" t="n"/>
      <c r="E23" s="7" t="n"/>
      <c r="F23" s="106">
        <f>IF(OR(C23="", D23=""), "", IFERROR(VLOOKUP(C23, '03_FOOD_DATABASE'!$B$5:$L$60, 6, FALSE)*D23/100, IFERROR(VLOOKUP(C23, '04_RECIPE_DATABASE'!$B$5:$M$20, 8, FALSE)*D23, 0)))</f>
        <v/>
      </c>
      <c r="G23" s="107">
        <f>IF(OR(C23="", D23=""), "", IFERROR(VLOOKUP(C23, '03_FOOD_DATABASE'!$B$5:$L$60, 7, FALSE)*D23/100, IFERROR(VLOOKUP(C23, '04_RECIPE_DATABASE'!$B$5:$M$20, 9, FALSE)*D23, 0)))</f>
        <v/>
      </c>
      <c r="H23" s="107">
        <f>IF(OR(C23="", D23=""), "", IFERROR(VLOOKUP(C23, '03_FOOD_DATABASE'!$B$5:$L$60, 8, FALSE)*D23/100, IFERROR(VLOOKUP(C23, '04_RECIPE_DATABASE'!$B$5:$M$20, 10, FALSE)*D23, 0)))</f>
        <v/>
      </c>
      <c r="I23" s="107">
        <f>IF(OR(C23="", D23=""), "", IFERROR(VLOOKUP(C23, '03_FOOD_DATABASE'!$B$5:$L$60, 9, FALSE)*D23/100, IFERROR(VLOOKUP(C23, '04_RECIPE_DATABASE'!$B$5:$M$20, 11, FALSE)*D23, 0)))</f>
        <v/>
      </c>
      <c r="J23" s="106">
        <f>IF(OR(C23="", D23=""), "", IFERROR(VLOOKUP(C23, '03_FOOD_DATABASE'!$B$5:$L$60, 11, FALSE)*D23/100, IFERROR(VLOOKUP(C23, '04_RECIPE_DATABASE'!$B$5:$M$20, 12, FALSE)*D23, 0)))</f>
        <v/>
      </c>
      <c r="K23" s="7" t="n"/>
      <c r="L23" s="58" t="n"/>
      <c r="N23" s="99" t="n">
        <v>46332</v>
      </c>
      <c r="O23" s="100">
        <f>TEXT(N23, "dddd")</f>
        <v/>
      </c>
      <c r="P23" s="101">
        <f>IF(U23=0, "", SUMIFS($F$5:$F$1500, $A$5:$A$1500, N23))</f>
        <v/>
      </c>
      <c r="Q23" s="102">
        <f>IF(U23=0, "", SUMIFS($G$5:$G$1500, $A$5:$A$1500, N23))</f>
        <v/>
      </c>
      <c r="R23" s="102">
        <f>IF(U23=0, "", SUMIFS($H$5:$H$1500, $A$5:$A$1500, N23))</f>
        <v/>
      </c>
      <c r="S23" s="102">
        <f>IF(U23=0, "", SUMIFS($I$5:$I$1500, $A$5:$A$1500, N23))</f>
        <v/>
      </c>
      <c r="T23" s="101">
        <f>IF(U23=0, "", SUMIFS($J$5:$J$1500, $A$5:$A$1500, N23))</f>
        <v/>
      </c>
      <c r="U23" s="103">
        <f>COUNTIFS($A$5:$A$1500, N23)</f>
        <v/>
      </c>
      <c r="V23" s="104">
        <f>IF(U23=0, "CHƯA NHẬP", IF(U23&lt;3, "INCOMPLETE (Chưa đủ bữa)", "COMPLETE (Đầy đủ)"))</f>
        <v/>
      </c>
      <c r="W23" s="105">
        <f>IF(P23="", "", P23/'02_NUTRITION_SETUP'!$C$20)</f>
        <v/>
      </c>
      <c r="X23" s="105">
        <f>IF(Q23="", "", Q23/'02_NUTRITION_SETUP'!$C$21)</f>
        <v/>
      </c>
    </row>
    <row r="24" ht="22" customHeight="1">
      <c r="A24" s="57" t="n"/>
      <c r="B24" s="7" t="n"/>
      <c r="C24" s="58" t="n"/>
      <c r="D24" s="58" t="n"/>
      <c r="E24" s="7" t="n"/>
      <c r="F24" s="106">
        <f>IF(OR(C24="", D24=""), "", IFERROR(VLOOKUP(C24, '03_FOOD_DATABASE'!$B$5:$L$60, 6, FALSE)*D24/100, IFERROR(VLOOKUP(C24, '04_RECIPE_DATABASE'!$B$5:$M$20, 8, FALSE)*D24, 0)))</f>
        <v/>
      </c>
      <c r="G24" s="107">
        <f>IF(OR(C24="", D24=""), "", IFERROR(VLOOKUP(C24, '03_FOOD_DATABASE'!$B$5:$L$60, 7, FALSE)*D24/100, IFERROR(VLOOKUP(C24, '04_RECIPE_DATABASE'!$B$5:$M$20, 9, FALSE)*D24, 0)))</f>
        <v/>
      </c>
      <c r="H24" s="107">
        <f>IF(OR(C24="", D24=""), "", IFERROR(VLOOKUP(C24, '03_FOOD_DATABASE'!$B$5:$L$60, 8, FALSE)*D24/100, IFERROR(VLOOKUP(C24, '04_RECIPE_DATABASE'!$B$5:$M$20, 10, FALSE)*D24, 0)))</f>
        <v/>
      </c>
      <c r="I24" s="107">
        <f>IF(OR(C24="", D24=""), "", IFERROR(VLOOKUP(C24, '03_FOOD_DATABASE'!$B$5:$L$60, 9, FALSE)*D24/100, IFERROR(VLOOKUP(C24, '04_RECIPE_DATABASE'!$B$5:$M$20, 11, FALSE)*D24, 0)))</f>
        <v/>
      </c>
      <c r="J24" s="106">
        <f>IF(OR(C24="", D24=""), "", IFERROR(VLOOKUP(C24, '03_FOOD_DATABASE'!$B$5:$L$60, 11, FALSE)*D24/100, IFERROR(VLOOKUP(C24, '04_RECIPE_DATABASE'!$B$5:$M$20, 12, FALSE)*D24, 0)))</f>
        <v/>
      </c>
      <c r="K24" s="7" t="n"/>
      <c r="L24" s="58" t="n"/>
      <c r="N24" s="99" t="n">
        <v>46333</v>
      </c>
      <c r="O24" s="100">
        <f>TEXT(N24, "dddd")</f>
        <v/>
      </c>
      <c r="P24" s="101">
        <f>IF(U24=0, "", SUMIFS($F$5:$F$1500, $A$5:$A$1500, N24))</f>
        <v/>
      </c>
      <c r="Q24" s="102">
        <f>IF(U24=0, "", SUMIFS($G$5:$G$1500, $A$5:$A$1500, N24))</f>
        <v/>
      </c>
      <c r="R24" s="102">
        <f>IF(U24=0, "", SUMIFS($H$5:$H$1500, $A$5:$A$1500, N24))</f>
        <v/>
      </c>
      <c r="S24" s="102">
        <f>IF(U24=0, "", SUMIFS($I$5:$I$1500, $A$5:$A$1500, N24))</f>
        <v/>
      </c>
      <c r="T24" s="101">
        <f>IF(U24=0, "", SUMIFS($J$5:$J$1500, $A$5:$A$1500, N24))</f>
        <v/>
      </c>
      <c r="U24" s="103">
        <f>COUNTIFS($A$5:$A$1500, N24)</f>
        <v/>
      </c>
      <c r="V24" s="104">
        <f>IF(U24=0, "CHƯA NHẬP", IF(U24&lt;3, "INCOMPLETE (Chưa đủ bữa)", "COMPLETE (Đầy đủ)"))</f>
        <v/>
      </c>
      <c r="W24" s="105">
        <f>IF(P24="", "", P24/'02_NUTRITION_SETUP'!$C$20)</f>
        <v/>
      </c>
      <c r="X24" s="105">
        <f>IF(Q24="", "", Q24/'02_NUTRITION_SETUP'!$C$21)</f>
        <v/>
      </c>
    </row>
    <row r="25" ht="22" customHeight="1">
      <c r="A25" s="57" t="n"/>
      <c r="B25" s="7" t="n"/>
      <c r="C25" s="58" t="n"/>
      <c r="D25" s="58" t="n"/>
      <c r="E25" s="7" t="n"/>
      <c r="F25" s="106">
        <f>IF(OR(C25="", D25=""), "", IFERROR(VLOOKUP(C25, '03_FOOD_DATABASE'!$B$5:$L$60, 6, FALSE)*D25/100, IFERROR(VLOOKUP(C25, '04_RECIPE_DATABASE'!$B$5:$M$20, 8, FALSE)*D25, 0)))</f>
        <v/>
      </c>
      <c r="G25" s="107">
        <f>IF(OR(C25="", D25=""), "", IFERROR(VLOOKUP(C25, '03_FOOD_DATABASE'!$B$5:$L$60, 7, FALSE)*D25/100, IFERROR(VLOOKUP(C25, '04_RECIPE_DATABASE'!$B$5:$M$20, 9, FALSE)*D25, 0)))</f>
        <v/>
      </c>
      <c r="H25" s="107">
        <f>IF(OR(C25="", D25=""), "", IFERROR(VLOOKUP(C25, '03_FOOD_DATABASE'!$B$5:$L$60, 8, FALSE)*D25/100, IFERROR(VLOOKUP(C25, '04_RECIPE_DATABASE'!$B$5:$M$20, 10, FALSE)*D25, 0)))</f>
        <v/>
      </c>
      <c r="I25" s="107">
        <f>IF(OR(C25="", D25=""), "", IFERROR(VLOOKUP(C25, '03_FOOD_DATABASE'!$B$5:$L$60, 9, FALSE)*D25/100, IFERROR(VLOOKUP(C25, '04_RECIPE_DATABASE'!$B$5:$M$20, 11, FALSE)*D25, 0)))</f>
        <v/>
      </c>
      <c r="J25" s="106">
        <f>IF(OR(C25="", D25=""), "", IFERROR(VLOOKUP(C25, '03_FOOD_DATABASE'!$B$5:$L$60, 11, FALSE)*D25/100, IFERROR(VLOOKUP(C25, '04_RECIPE_DATABASE'!$B$5:$M$20, 12, FALSE)*D25, 0)))</f>
        <v/>
      </c>
      <c r="K25" s="7" t="n"/>
      <c r="L25" s="58" t="n"/>
      <c r="N25" s="99" t="n">
        <v>46334</v>
      </c>
      <c r="O25" s="100">
        <f>TEXT(N25, "dddd")</f>
        <v/>
      </c>
      <c r="P25" s="101">
        <f>IF(U25=0, "", SUMIFS($F$5:$F$1500, $A$5:$A$1500, N25))</f>
        <v/>
      </c>
      <c r="Q25" s="102">
        <f>IF(U25=0, "", SUMIFS($G$5:$G$1500, $A$5:$A$1500, N25))</f>
        <v/>
      </c>
      <c r="R25" s="102">
        <f>IF(U25=0, "", SUMIFS($H$5:$H$1500, $A$5:$A$1500, N25))</f>
        <v/>
      </c>
      <c r="S25" s="102">
        <f>IF(U25=0, "", SUMIFS($I$5:$I$1500, $A$5:$A$1500, N25))</f>
        <v/>
      </c>
      <c r="T25" s="101">
        <f>IF(U25=0, "", SUMIFS($J$5:$J$1500, $A$5:$A$1500, N25))</f>
        <v/>
      </c>
      <c r="U25" s="103">
        <f>COUNTIFS($A$5:$A$1500, N25)</f>
        <v/>
      </c>
      <c r="V25" s="104">
        <f>IF(U25=0, "CHƯA NHẬP", IF(U25&lt;3, "INCOMPLETE (Chưa đủ bữa)", "COMPLETE (Đầy đủ)"))</f>
        <v/>
      </c>
      <c r="W25" s="105">
        <f>IF(P25="", "", P25/'02_NUTRITION_SETUP'!$C$20)</f>
        <v/>
      </c>
      <c r="X25" s="105">
        <f>IF(Q25="", "", Q25/'02_NUTRITION_SETUP'!$C$21)</f>
        <v/>
      </c>
    </row>
    <row r="26" ht="22" customHeight="1">
      <c r="A26" s="57" t="n"/>
      <c r="B26" s="7" t="n"/>
      <c r="C26" s="58" t="n"/>
      <c r="D26" s="58" t="n"/>
      <c r="E26" s="7" t="n"/>
      <c r="F26" s="106">
        <f>IF(OR(C26="", D26=""), "", IFERROR(VLOOKUP(C26, '03_FOOD_DATABASE'!$B$5:$L$60, 6, FALSE)*D26/100, IFERROR(VLOOKUP(C26, '04_RECIPE_DATABASE'!$B$5:$M$20, 8, FALSE)*D26, 0)))</f>
        <v/>
      </c>
      <c r="G26" s="107">
        <f>IF(OR(C26="", D26=""), "", IFERROR(VLOOKUP(C26, '03_FOOD_DATABASE'!$B$5:$L$60, 7, FALSE)*D26/100, IFERROR(VLOOKUP(C26, '04_RECIPE_DATABASE'!$B$5:$M$20, 9, FALSE)*D26, 0)))</f>
        <v/>
      </c>
      <c r="H26" s="107">
        <f>IF(OR(C26="", D26=""), "", IFERROR(VLOOKUP(C26, '03_FOOD_DATABASE'!$B$5:$L$60, 8, FALSE)*D26/100, IFERROR(VLOOKUP(C26, '04_RECIPE_DATABASE'!$B$5:$M$20, 10, FALSE)*D26, 0)))</f>
        <v/>
      </c>
      <c r="I26" s="107">
        <f>IF(OR(C26="", D26=""), "", IFERROR(VLOOKUP(C26, '03_FOOD_DATABASE'!$B$5:$L$60, 9, FALSE)*D26/100, IFERROR(VLOOKUP(C26, '04_RECIPE_DATABASE'!$B$5:$M$20, 11, FALSE)*D26, 0)))</f>
        <v/>
      </c>
      <c r="J26" s="106">
        <f>IF(OR(C26="", D26=""), "", IFERROR(VLOOKUP(C26, '03_FOOD_DATABASE'!$B$5:$L$60, 11, FALSE)*D26/100, IFERROR(VLOOKUP(C26, '04_RECIPE_DATABASE'!$B$5:$M$20, 12, FALSE)*D26, 0)))</f>
        <v/>
      </c>
      <c r="K26" s="7" t="n"/>
      <c r="L26" s="58" t="n"/>
      <c r="N26" s="99" t="n">
        <v>46335</v>
      </c>
      <c r="O26" s="100">
        <f>TEXT(N26, "dddd")</f>
        <v/>
      </c>
      <c r="P26" s="101">
        <f>IF(U26=0, "", SUMIFS($F$5:$F$1500, $A$5:$A$1500, N26))</f>
        <v/>
      </c>
      <c r="Q26" s="102">
        <f>IF(U26=0, "", SUMIFS($G$5:$G$1500, $A$5:$A$1500, N26))</f>
        <v/>
      </c>
      <c r="R26" s="102">
        <f>IF(U26=0, "", SUMIFS($H$5:$H$1500, $A$5:$A$1500, N26))</f>
        <v/>
      </c>
      <c r="S26" s="102">
        <f>IF(U26=0, "", SUMIFS($I$5:$I$1500, $A$5:$A$1500, N26))</f>
        <v/>
      </c>
      <c r="T26" s="101">
        <f>IF(U26=0, "", SUMIFS($J$5:$J$1500, $A$5:$A$1500, N26))</f>
        <v/>
      </c>
      <c r="U26" s="103">
        <f>COUNTIFS($A$5:$A$1500, N26)</f>
        <v/>
      </c>
      <c r="V26" s="104">
        <f>IF(U26=0, "CHƯA NHẬP", IF(U26&lt;3, "INCOMPLETE (Chưa đủ bữa)", "COMPLETE (Đầy đủ)"))</f>
        <v/>
      </c>
      <c r="W26" s="105">
        <f>IF(P26="", "", P26/'02_NUTRITION_SETUP'!$C$20)</f>
        <v/>
      </c>
      <c r="X26" s="105">
        <f>IF(Q26="", "", Q26/'02_NUTRITION_SETUP'!$C$21)</f>
        <v/>
      </c>
    </row>
    <row r="27" ht="22" customHeight="1">
      <c r="A27" s="57" t="n"/>
      <c r="B27" s="7" t="n"/>
      <c r="C27" s="58" t="n"/>
      <c r="D27" s="58" t="n"/>
      <c r="E27" s="7" t="n"/>
      <c r="F27" s="106">
        <f>IF(OR(C27="", D27=""), "", IFERROR(VLOOKUP(C27, '03_FOOD_DATABASE'!$B$5:$L$60, 6, FALSE)*D27/100, IFERROR(VLOOKUP(C27, '04_RECIPE_DATABASE'!$B$5:$M$20, 8, FALSE)*D27, 0)))</f>
        <v/>
      </c>
      <c r="G27" s="107">
        <f>IF(OR(C27="", D27=""), "", IFERROR(VLOOKUP(C27, '03_FOOD_DATABASE'!$B$5:$L$60, 7, FALSE)*D27/100, IFERROR(VLOOKUP(C27, '04_RECIPE_DATABASE'!$B$5:$M$20, 9, FALSE)*D27, 0)))</f>
        <v/>
      </c>
      <c r="H27" s="107">
        <f>IF(OR(C27="", D27=""), "", IFERROR(VLOOKUP(C27, '03_FOOD_DATABASE'!$B$5:$L$60, 8, FALSE)*D27/100, IFERROR(VLOOKUP(C27, '04_RECIPE_DATABASE'!$B$5:$M$20, 10, FALSE)*D27, 0)))</f>
        <v/>
      </c>
      <c r="I27" s="107">
        <f>IF(OR(C27="", D27=""), "", IFERROR(VLOOKUP(C27, '03_FOOD_DATABASE'!$B$5:$L$60, 9, FALSE)*D27/100, IFERROR(VLOOKUP(C27, '04_RECIPE_DATABASE'!$B$5:$M$20, 11, FALSE)*D27, 0)))</f>
        <v/>
      </c>
      <c r="J27" s="106">
        <f>IF(OR(C27="", D27=""), "", IFERROR(VLOOKUP(C27, '03_FOOD_DATABASE'!$B$5:$L$60, 11, FALSE)*D27/100, IFERROR(VLOOKUP(C27, '04_RECIPE_DATABASE'!$B$5:$M$20, 12, FALSE)*D27, 0)))</f>
        <v/>
      </c>
      <c r="K27" s="7" t="n"/>
      <c r="L27" s="58" t="n"/>
      <c r="N27" s="99" t="n">
        <v>46336</v>
      </c>
      <c r="O27" s="100">
        <f>TEXT(N27, "dddd")</f>
        <v/>
      </c>
      <c r="P27" s="101">
        <f>IF(U27=0, "", SUMIFS($F$5:$F$1500, $A$5:$A$1500, N27))</f>
        <v/>
      </c>
      <c r="Q27" s="102">
        <f>IF(U27=0, "", SUMIFS($G$5:$G$1500, $A$5:$A$1500, N27))</f>
        <v/>
      </c>
      <c r="R27" s="102">
        <f>IF(U27=0, "", SUMIFS($H$5:$H$1500, $A$5:$A$1500, N27))</f>
        <v/>
      </c>
      <c r="S27" s="102">
        <f>IF(U27=0, "", SUMIFS($I$5:$I$1500, $A$5:$A$1500, N27))</f>
        <v/>
      </c>
      <c r="T27" s="101">
        <f>IF(U27=0, "", SUMIFS($J$5:$J$1500, $A$5:$A$1500, N27))</f>
        <v/>
      </c>
      <c r="U27" s="103">
        <f>COUNTIFS($A$5:$A$1500, N27)</f>
        <v/>
      </c>
      <c r="V27" s="104">
        <f>IF(U27=0, "CHƯA NHẬP", IF(U27&lt;3, "INCOMPLETE (Chưa đủ bữa)", "COMPLETE (Đầy đủ)"))</f>
        <v/>
      </c>
      <c r="W27" s="105">
        <f>IF(P27="", "", P27/'02_NUTRITION_SETUP'!$C$20)</f>
        <v/>
      </c>
      <c r="X27" s="105">
        <f>IF(Q27="", "", Q27/'02_NUTRITION_SETUP'!$C$21)</f>
        <v/>
      </c>
    </row>
    <row r="28" ht="22" customHeight="1">
      <c r="A28" s="57" t="n"/>
      <c r="B28" s="7" t="n"/>
      <c r="C28" s="58" t="n"/>
      <c r="D28" s="58" t="n"/>
      <c r="E28" s="7" t="n"/>
      <c r="F28" s="106">
        <f>IF(OR(C28="", D28=""), "", IFERROR(VLOOKUP(C28, '03_FOOD_DATABASE'!$B$5:$L$60, 6, FALSE)*D28/100, IFERROR(VLOOKUP(C28, '04_RECIPE_DATABASE'!$B$5:$M$20, 8, FALSE)*D28, 0)))</f>
        <v/>
      </c>
      <c r="G28" s="107">
        <f>IF(OR(C28="", D28=""), "", IFERROR(VLOOKUP(C28, '03_FOOD_DATABASE'!$B$5:$L$60, 7, FALSE)*D28/100, IFERROR(VLOOKUP(C28, '04_RECIPE_DATABASE'!$B$5:$M$20, 9, FALSE)*D28, 0)))</f>
        <v/>
      </c>
      <c r="H28" s="107">
        <f>IF(OR(C28="", D28=""), "", IFERROR(VLOOKUP(C28, '03_FOOD_DATABASE'!$B$5:$L$60, 8, FALSE)*D28/100, IFERROR(VLOOKUP(C28, '04_RECIPE_DATABASE'!$B$5:$M$20, 10, FALSE)*D28, 0)))</f>
        <v/>
      </c>
      <c r="I28" s="107">
        <f>IF(OR(C28="", D28=""), "", IFERROR(VLOOKUP(C28, '03_FOOD_DATABASE'!$B$5:$L$60, 9, FALSE)*D28/100, IFERROR(VLOOKUP(C28, '04_RECIPE_DATABASE'!$B$5:$M$20, 11, FALSE)*D28, 0)))</f>
        <v/>
      </c>
      <c r="J28" s="106">
        <f>IF(OR(C28="", D28=""), "", IFERROR(VLOOKUP(C28, '03_FOOD_DATABASE'!$B$5:$L$60, 11, FALSE)*D28/100, IFERROR(VLOOKUP(C28, '04_RECIPE_DATABASE'!$B$5:$M$20, 12, FALSE)*D28, 0)))</f>
        <v/>
      </c>
      <c r="K28" s="7" t="n"/>
      <c r="L28" s="58" t="n"/>
      <c r="N28" s="99" t="n">
        <v>46337</v>
      </c>
      <c r="O28" s="100">
        <f>TEXT(N28, "dddd")</f>
        <v/>
      </c>
      <c r="P28" s="101">
        <f>IF(U28=0, "", SUMIFS($F$5:$F$1500, $A$5:$A$1500, N28))</f>
        <v/>
      </c>
      <c r="Q28" s="102">
        <f>IF(U28=0, "", SUMIFS($G$5:$G$1500, $A$5:$A$1500, N28))</f>
        <v/>
      </c>
      <c r="R28" s="102">
        <f>IF(U28=0, "", SUMIFS($H$5:$H$1500, $A$5:$A$1500, N28))</f>
        <v/>
      </c>
      <c r="S28" s="102">
        <f>IF(U28=0, "", SUMIFS($I$5:$I$1500, $A$5:$A$1500, N28))</f>
        <v/>
      </c>
      <c r="T28" s="101">
        <f>IF(U28=0, "", SUMIFS($J$5:$J$1500, $A$5:$A$1500, N28))</f>
        <v/>
      </c>
      <c r="U28" s="103">
        <f>COUNTIFS($A$5:$A$1500, N28)</f>
        <v/>
      </c>
      <c r="V28" s="104">
        <f>IF(U28=0, "CHƯA NHẬP", IF(U28&lt;3, "INCOMPLETE (Chưa đủ bữa)", "COMPLETE (Đầy đủ)"))</f>
        <v/>
      </c>
      <c r="W28" s="105">
        <f>IF(P28="", "", P28/'02_NUTRITION_SETUP'!$C$20)</f>
        <v/>
      </c>
      <c r="X28" s="105">
        <f>IF(Q28="", "", Q28/'02_NUTRITION_SETUP'!$C$21)</f>
        <v/>
      </c>
    </row>
    <row r="29" ht="22" customHeight="1">
      <c r="A29" s="57" t="n"/>
      <c r="B29" s="7" t="n"/>
      <c r="C29" s="58" t="n"/>
      <c r="D29" s="58" t="n"/>
      <c r="E29" s="7" t="n"/>
      <c r="F29" s="106">
        <f>IF(OR(C29="", D29=""), "", IFERROR(VLOOKUP(C29, '03_FOOD_DATABASE'!$B$5:$L$60, 6, FALSE)*D29/100, IFERROR(VLOOKUP(C29, '04_RECIPE_DATABASE'!$B$5:$M$20, 8, FALSE)*D29, 0)))</f>
        <v/>
      </c>
      <c r="G29" s="107">
        <f>IF(OR(C29="", D29=""), "", IFERROR(VLOOKUP(C29, '03_FOOD_DATABASE'!$B$5:$L$60, 7, FALSE)*D29/100, IFERROR(VLOOKUP(C29, '04_RECIPE_DATABASE'!$B$5:$M$20, 9, FALSE)*D29, 0)))</f>
        <v/>
      </c>
      <c r="H29" s="107">
        <f>IF(OR(C29="", D29=""), "", IFERROR(VLOOKUP(C29, '03_FOOD_DATABASE'!$B$5:$L$60, 8, FALSE)*D29/100, IFERROR(VLOOKUP(C29, '04_RECIPE_DATABASE'!$B$5:$M$20, 10, FALSE)*D29, 0)))</f>
        <v/>
      </c>
      <c r="I29" s="107">
        <f>IF(OR(C29="", D29=""), "", IFERROR(VLOOKUP(C29, '03_FOOD_DATABASE'!$B$5:$L$60, 9, FALSE)*D29/100, IFERROR(VLOOKUP(C29, '04_RECIPE_DATABASE'!$B$5:$M$20, 11, FALSE)*D29, 0)))</f>
        <v/>
      </c>
      <c r="J29" s="106">
        <f>IF(OR(C29="", D29=""), "", IFERROR(VLOOKUP(C29, '03_FOOD_DATABASE'!$B$5:$L$60, 11, FALSE)*D29/100, IFERROR(VLOOKUP(C29, '04_RECIPE_DATABASE'!$B$5:$M$20, 12, FALSE)*D29, 0)))</f>
        <v/>
      </c>
      <c r="K29" s="7" t="n"/>
      <c r="L29" s="58" t="n"/>
      <c r="N29" s="99" t="n">
        <v>46338</v>
      </c>
      <c r="O29" s="100">
        <f>TEXT(N29, "dddd")</f>
        <v/>
      </c>
      <c r="P29" s="101">
        <f>IF(U29=0, "", SUMIFS($F$5:$F$1500, $A$5:$A$1500, N29))</f>
        <v/>
      </c>
      <c r="Q29" s="102">
        <f>IF(U29=0, "", SUMIFS($G$5:$G$1500, $A$5:$A$1500, N29))</f>
        <v/>
      </c>
      <c r="R29" s="102">
        <f>IF(U29=0, "", SUMIFS($H$5:$H$1500, $A$5:$A$1500, N29))</f>
        <v/>
      </c>
      <c r="S29" s="102">
        <f>IF(U29=0, "", SUMIFS($I$5:$I$1500, $A$5:$A$1500, N29))</f>
        <v/>
      </c>
      <c r="T29" s="101">
        <f>IF(U29=0, "", SUMIFS($J$5:$J$1500, $A$5:$A$1500, N29))</f>
        <v/>
      </c>
      <c r="U29" s="103">
        <f>COUNTIFS($A$5:$A$1500, N29)</f>
        <v/>
      </c>
      <c r="V29" s="104">
        <f>IF(U29=0, "CHƯA NHẬP", IF(U29&lt;3, "INCOMPLETE (Chưa đủ bữa)", "COMPLETE (Đầy đủ)"))</f>
        <v/>
      </c>
      <c r="W29" s="105">
        <f>IF(P29="", "", P29/'02_NUTRITION_SETUP'!$C$20)</f>
        <v/>
      </c>
      <c r="X29" s="105">
        <f>IF(Q29="", "", Q29/'02_NUTRITION_SETUP'!$C$21)</f>
        <v/>
      </c>
    </row>
    <row r="30" ht="22" customHeight="1">
      <c r="A30" s="57" t="n"/>
      <c r="B30" s="7" t="n"/>
      <c r="C30" s="58" t="n"/>
      <c r="D30" s="58" t="n"/>
      <c r="E30" s="7" t="n"/>
      <c r="F30" s="106">
        <f>IF(OR(C30="", D30=""), "", IFERROR(VLOOKUP(C30, '03_FOOD_DATABASE'!$B$5:$L$60, 6, FALSE)*D30/100, IFERROR(VLOOKUP(C30, '04_RECIPE_DATABASE'!$B$5:$M$20, 8, FALSE)*D30, 0)))</f>
        <v/>
      </c>
      <c r="G30" s="107">
        <f>IF(OR(C30="", D30=""), "", IFERROR(VLOOKUP(C30, '03_FOOD_DATABASE'!$B$5:$L$60, 7, FALSE)*D30/100, IFERROR(VLOOKUP(C30, '04_RECIPE_DATABASE'!$B$5:$M$20, 9, FALSE)*D30, 0)))</f>
        <v/>
      </c>
      <c r="H30" s="107">
        <f>IF(OR(C30="", D30=""), "", IFERROR(VLOOKUP(C30, '03_FOOD_DATABASE'!$B$5:$L$60, 8, FALSE)*D30/100, IFERROR(VLOOKUP(C30, '04_RECIPE_DATABASE'!$B$5:$M$20, 10, FALSE)*D30, 0)))</f>
        <v/>
      </c>
      <c r="I30" s="107">
        <f>IF(OR(C30="", D30=""), "", IFERROR(VLOOKUP(C30, '03_FOOD_DATABASE'!$B$5:$L$60, 9, FALSE)*D30/100, IFERROR(VLOOKUP(C30, '04_RECIPE_DATABASE'!$B$5:$M$20, 11, FALSE)*D30, 0)))</f>
        <v/>
      </c>
      <c r="J30" s="106">
        <f>IF(OR(C30="", D30=""), "", IFERROR(VLOOKUP(C30, '03_FOOD_DATABASE'!$B$5:$L$60, 11, FALSE)*D30/100, IFERROR(VLOOKUP(C30, '04_RECIPE_DATABASE'!$B$5:$M$20, 12, FALSE)*D30, 0)))</f>
        <v/>
      </c>
      <c r="K30" s="7" t="n"/>
      <c r="L30" s="58" t="n"/>
      <c r="N30" s="99" t="n">
        <v>46339</v>
      </c>
      <c r="O30" s="100">
        <f>TEXT(N30, "dddd")</f>
        <v/>
      </c>
      <c r="P30" s="101">
        <f>IF(U30=0, "", SUMIFS($F$5:$F$1500, $A$5:$A$1500, N30))</f>
        <v/>
      </c>
      <c r="Q30" s="102">
        <f>IF(U30=0, "", SUMIFS($G$5:$G$1500, $A$5:$A$1500, N30))</f>
        <v/>
      </c>
      <c r="R30" s="102">
        <f>IF(U30=0, "", SUMIFS($H$5:$H$1500, $A$5:$A$1500, N30))</f>
        <v/>
      </c>
      <c r="S30" s="102">
        <f>IF(U30=0, "", SUMIFS($I$5:$I$1500, $A$5:$A$1500, N30))</f>
        <v/>
      </c>
      <c r="T30" s="101">
        <f>IF(U30=0, "", SUMIFS($J$5:$J$1500, $A$5:$A$1500, N30))</f>
        <v/>
      </c>
      <c r="U30" s="103">
        <f>COUNTIFS($A$5:$A$1500, N30)</f>
        <v/>
      </c>
      <c r="V30" s="104">
        <f>IF(U30=0, "CHƯA NHẬP", IF(U30&lt;3, "INCOMPLETE (Chưa đủ bữa)", "COMPLETE (Đầy đủ)"))</f>
        <v/>
      </c>
      <c r="W30" s="105">
        <f>IF(P30="", "", P30/'02_NUTRITION_SETUP'!$C$20)</f>
        <v/>
      </c>
      <c r="X30" s="105">
        <f>IF(Q30="", "", Q30/'02_NUTRITION_SETUP'!$C$21)</f>
        <v/>
      </c>
    </row>
    <row r="31" ht="22" customHeight="1">
      <c r="A31" s="57" t="n"/>
      <c r="B31" s="7" t="n"/>
      <c r="C31" s="58" t="n"/>
      <c r="D31" s="58" t="n"/>
      <c r="E31" s="7" t="n"/>
      <c r="F31" s="106">
        <f>IF(OR(C31="", D31=""), "", IFERROR(VLOOKUP(C31, '03_FOOD_DATABASE'!$B$5:$L$60, 6, FALSE)*D31/100, IFERROR(VLOOKUP(C31, '04_RECIPE_DATABASE'!$B$5:$M$20, 8, FALSE)*D31, 0)))</f>
        <v/>
      </c>
      <c r="G31" s="107">
        <f>IF(OR(C31="", D31=""), "", IFERROR(VLOOKUP(C31, '03_FOOD_DATABASE'!$B$5:$L$60, 7, FALSE)*D31/100, IFERROR(VLOOKUP(C31, '04_RECIPE_DATABASE'!$B$5:$M$20, 9, FALSE)*D31, 0)))</f>
        <v/>
      </c>
      <c r="H31" s="107">
        <f>IF(OR(C31="", D31=""), "", IFERROR(VLOOKUP(C31, '03_FOOD_DATABASE'!$B$5:$L$60, 8, FALSE)*D31/100, IFERROR(VLOOKUP(C31, '04_RECIPE_DATABASE'!$B$5:$M$20, 10, FALSE)*D31, 0)))</f>
        <v/>
      </c>
      <c r="I31" s="107">
        <f>IF(OR(C31="", D31=""), "", IFERROR(VLOOKUP(C31, '03_FOOD_DATABASE'!$B$5:$L$60, 9, FALSE)*D31/100, IFERROR(VLOOKUP(C31, '04_RECIPE_DATABASE'!$B$5:$M$20, 11, FALSE)*D31, 0)))</f>
        <v/>
      </c>
      <c r="J31" s="106">
        <f>IF(OR(C31="", D31=""), "", IFERROR(VLOOKUP(C31, '03_FOOD_DATABASE'!$B$5:$L$60, 11, FALSE)*D31/100, IFERROR(VLOOKUP(C31, '04_RECIPE_DATABASE'!$B$5:$M$20, 12, FALSE)*D31, 0)))</f>
        <v/>
      </c>
      <c r="K31" s="7" t="n"/>
      <c r="L31" s="58" t="n"/>
      <c r="N31" s="99" t="n">
        <v>46340</v>
      </c>
      <c r="O31" s="100">
        <f>TEXT(N31, "dddd")</f>
        <v/>
      </c>
      <c r="P31" s="101">
        <f>IF(U31=0, "", SUMIFS($F$5:$F$1500, $A$5:$A$1500, N31))</f>
        <v/>
      </c>
      <c r="Q31" s="102">
        <f>IF(U31=0, "", SUMIFS($G$5:$G$1500, $A$5:$A$1500, N31))</f>
        <v/>
      </c>
      <c r="R31" s="102">
        <f>IF(U31=0, "", SUMIFS($H$5:$H$1500, $A$5:$A$1500, N31))</f>
        <v/>
      </c>
      <c r="S31" s="102">
        <f>IF(U31=0, "", SUMIFS($I$5:$I$1500, $A$5:$A$1500, N31))</f>
        <v/>
      </c>
      <c r="T31" s="101">
        <f>IF(U31=0, "", SUMIFS($J$5:$J$1500, $A$5:$A$1500, N31))</f>
        <v/>
      </c>
      <c r="U31" s="103">
        <f>COUNTIFS($A$5:$A$1500, N31)</f>
        <v/>
      </c>
      <c r="V31" s="104">
        <f>IF(U31=0, "CHƯA NHẬP", IF(U31&lt;3, "INCOMPLETE (Chưa đủ bữa)", "COMPLETE (Đầy đủ)"))</f>
        <v/>
      </c>
      <c r="W31" s="105">
        <f>IF(P31="", "", P31/'02_NUTRITION_SETUP'!$C$20)</f>
        <v/>
      </c>
      <c r="X31" s="105">
        <f>IF(Q31="", "", Q31/'02_NUTRITION_SETUP'!$C$21)</f>
        <v/>
      </c>
    </row>
    <row r="32" ht="22" customHeight="1">
      <c r="A32" s="57" t="n"/>
      <c r="B32" s="7" t="n"/>
      <c r="C32" s="58" t="n"/>
      <c r="D32" s="58" t="n"/>
      <c r="E32" s="7" t="n"/>
      <c r="F32" s="106">
        <f>IF(OR(C32="", D32=""), "", IFERROR(VLOOKUP(C32, '03_FOOD_DATABASE'!$B$5:$L$60, 6, FALSE)*D32/100, IFERROR(VLOOKUP(C32, '04_RECIPE_DATABASE'!$B$5:$M$20, 8, FALSE)*D32, 0)))</f>
        <v/>
      </c>
      <c r="G32" s="107">
        <f>IF(OR(C32="", D32=""), "", IFERROR(VLOOKUP(C32, '03_FOOD_DATABASE'!$B$5:$L$60, 7, FALSE)*D32/100, IFERROR(VLOOKUP(C32, '04_RECIPE_DATABASE'!$B$5:$M$20, 9, FALSE)*D32, 0)))</f>
        <v/>
      </c>
      <c r="H32" s="107">
        <f>IF(OR(C32="", D32=""), "", IFERROR(VLOOKUP(C32, '03_FOOD_DATABASE'!$B$5:$L$60, 8, FALSE)*D32/100, IFERROR(VLOOKUP(C32, '04_RECIPE_DATABASE'!$B$5:$M$20, 10, FALSE)*D32, 0)))</f>
        <v/>
      </c>
      <c r="I32" s="107">
        <f>IF(OR(C32="", D32=""), "", IFERROR(VLOOKUP(C32, '03_FOOD_DATABASE'!$B$5:$L$60, 9, FALSE)*D32/100, IFERROR(VLOOKUP(C32, '04_RECIPE_DATABASE'!$B$5:$M$20, 11, FALSE)*D32, 0)))</f>
        <v/>
      </c>
      <c r="J32" s="106">
        <f>IF(OR(C32="", D32=""), "", IFERROR(VLOOKUP(C32, '03_FOOD_DATABASE'!$B$5:$L$60, 11, FALSE)*D32/100, IFERROR(VLOOKUP(C32, '04_RECIPE_DATABASE'!$B$5:$M$20, 12, FALSE)*D32, 0)))</f>
        <v/>
      </c>
      <c r="K32" s="7" t="n"/>
      <c r="L32" s="58" t="n"/>
      <c r="N32" s="99" t="n">
        <v>46341</v>
      </c>
      <c r="O32" s="100">
        <f>TEXT(N32, "dddd")</f>
        <v/>
      </c>
      <c r="P32" s="101">
        <f>IF(U32=0, "", SUMIFS($F$5:$F$1500, $A$5:$A$1500, N32))</f>
        <v/>
      </c>
      <c r="Q32" s="102">
        <f>IF(U32=0, "", SUMIFS($G$5:$G$1500, $A$5:$A$1500, N32))</f>
        <v/>
      </c>
      <c r="R32" s="102">
        <f>IF(U32=0, "", SUMIFS($H$5:$H$1500, $A$5:$A$1500, N32))</f>
        <v/>
      </c>
      <c r="S32" s="102">
        <f>IF(U32=0, "", SUMIFS($I$5:$I$1500, $A$5:$A$1500, N32))</f>
        <v/>
      </c>
      <c r="T32" s="101">
        <f>IF(U32=0, "", SUMIFS($J$5:$J$1500, $A$5:$A$1500, N32))</f>
        <v/>
      </c>
      <c r="U32" s="103">
        <f>COUNTIFS($A$5:$A$1500, N32)</f>
        <v/>
      </c>
      <c r="V32" s="104">
        <f>IF(U32=0, "CHƯA NHẬP", IF(U32&lt;3, "INCOMPLETE (Chưa đủ bữa)", "COMPLETE (Đầy đủ)"))</f>
        <v/>
      </c>
      <c r="W32" s="105">
        <f>IF(P32="", "", P32/'02_NUTRITION_SETUP'!$C$20)</f>
        <v/>
      </c>
      <c r="X32" s="105">
        <f>IF(Q32="", "", Q32/'02_NUTRITION_SETUP'!$C$21)</f>
        <v/>
      </c>
    </row>
    <row r="33" ht="22" customHeight="1">
      <c r="A33" s="57" t="n"/>
      <c r="B33" s="7" t="n"/>
      <c r="C33" s="58" t="n"/>
      <c r="D33" s="58" t="n"/>
      <c r="E33" s="7" t="n"/>
      <c r="F33" s="106">
        <f>IF(OR(C33="", D33=""), "", IFERROR(VLOOKUP(C33, '03_FOOD_DATABASE'!$B$5:$L$60, 6, FALSE)*D33/100, IFERROR(VLOOKUP(C33, '04_RECIPE_DATABASE'!$B$5:$M$20, 8, FALSE)*D33, 0)))</f>
        <v/>
      </c>
      <c r="G33" s="107">
        <f>IF(OR(C33="", D33=""), "", IFERROR(VLOOKUP(C33, '03_FOOD_DATABASE'!$B$5:$L$60, 7, FALSE)*D33/100, IFERROR(VLOOKUP(C33, '04_RECIPE_DATABASE'!$B$5:$M$20, 9, FALSE)*D33, 0)))</f>
        <v/>
      </c>
      <c r="H33" s="107">
        <f>IF(OR(C33="", D33=""), "", IFERROR(VLOOKUP(C33, '03_FOOD_DATABASE'!$B$5:$L$60, 8, FALSE)*D33/100, IFERROR(VLOOKUP(C33, '04_RECIPE_DATABASE'!$B$5:$M$20, 10, FALSE)*D33, 0)))</f>
        <v/>
      </c>
      <c r="I33" s="107">
        <f>IF(OR(C33="", D33=""), "", IFERROR(VLOOKUP(C33, '03_FOOD_DATABASE'!$B$5:$L$60, 9, FALSE)*D33/100, IFERROR(VLOOKUP(C33, '04_RECIPE_DATABASE'!$B$5:$M$20, 11, FALSE)*D33, 0)))</f>
        <v/>
      </c>
      <c r="J33" s="106">
        <f>IF(OR(C33="", D33=""), "", IFERROR(VLOOKUP(C33, '03_FOOD_DATABASE'!$B$5:$L$60, 11, FALSE)*D33/100, IFERROR(VLOOKUP(C33, '04_RECIPE_DATABASE'!$B$5:$M$20, 12, FALSE)*D33, 0)))</f>
        <v/>
      </c>
      <c r="K33" s="7" t="n"/>
      <c r="L33" s="58" t="n"/>
      <c r="N33" s="99" t="n">
        <v>46342</v>
      </c>
      <c r="O33" s="100">
        <f>TEXT(N33, "dddd")</f>
        <v/>
      </c>
      <c r="P33" s="101">
        <f>IF(U33=0, "", SUMIFS($F$5:$F$1500, $A$5:$A$1500, N33))</f>
        <v/>
      </c>
      <c r="Q33" s="102">
        <f>IF(U33=0, "", SUMIFS($G$5:$G$1500, $A$5:$A$1500, N33))</f>
        <v/>
      </c>
      <c r="R33" s="102">
        <f>IF(U33=0, "", SUMIFS($H$5:$H$1500, $A$5:$A$1500, N33))</f>
        <v/>
      </c>
      <c r="S33" s="102">
        <f>IF(U33=0, "", SUMIFS($I$5:$I$1500, $A$5:$A$1500, N33))</f>
        <v/>
      </c>
      <c r="T33" s="101">
        <f>IF(U33=0, "", SUMIFS($J$5:$J$1500, $A$5:$A$1500, N33))</f>
        <v/>
      </c>
      <c r="U33" s="103">
        <f>COUNTIFS($A$5:$A$1500, N33)</f>
        <v/>
      </c>
      <c r="V33" s="104">
        <f>IF(U33=0, "CHƯA NHẬP", IF(U33&lt;3, "INCOMPLETE (Chưa đủ bữa)", "COMPLETE (Đầy đủ)"))</f>
        <v/>
      </c>
      <c r="W33" s="105">
        <f>IF(P33="", "", P33/'02_NUTRITION_SETUP'!$C$20)</f>
        <v/>
      </c>
      <c r="X33" s="105">
        <f>IF(Q33="", "", Q33/'02_NUTRITION_SETUP'!$C$21)</f>
        <v/>
      </c>
    </row>
    <row r="34" ht="22" customHeight="1">
      <c r="A34" s="57" t="n"/>
      <c r="B34" s="7" t="n"/>
      <c r="C34" s="58" t="n"/>
      <c r="D34" s="58" t="n"/>
      <c r="E34" s="7" t="n"/>
      <c r="F34" s="106">
        <f>IF(OR(C34="", D34=""), "", IFERROR(VLOOKUP(C34, '03_FOOD_DATABASE'!$B$5:$L$60, 6, FALSE)*D34/100, IFERROR(VLOOKUP(C34, '04_RECIPE_DATABASE'!$B$5:$M$20, 8, FALSE)*D34, 0)))</f>
        <v/>
      </c>
      <c r="G34" s="107">
        <f>IF(OR(C34="", D34=""), "", IFERROR(VLOOKUP(C34, '03_FOOD_DATABASE'!$B$5:$L$60, 7, FALSE)*D34/100, IFERROR(VLOOKUP(C34, '04_RECIPE_DATABASE'!$B$5:$M$20, 9, FALSE)*D34, 0)))</f>
        <v/>
      </c>
      <c r="H34" s="107">
        <f>IF(OR(C34="", D34=""), "", IFERROR(VLOOKUP(C34, '03_FOOD_DATABASE'!$B$5:$L$60, 8, FALSE)*D34/100, IFERROR(VLOOKUP(C34, '04_RECIPE_DATABASE'!$B$5:$M$20, 10, FALSE)*D34, 0)))</f>
        <v/>
      </c>
      <c r="I34" s="107">
        <f>IF(OR(C34="", D34=""), "", IFERROR(VLOOKUP(C34, '03_FOOD_DATABASE'!$B$5:$L$60, 9, FALSE)*D34/100, IFERROR(VLOOKUP(C34, '04_RECIPE_DATABASE'!$B$5:$M$20, 11, FALSE)*D34, 0)))</f>
        <v/>
      </c>
      <c r="J34" s="106">
        <f>IF(OR(C34="", D34=""), "", IFERROR(VLOOKUP(C34, '03_FOOD_DATABASE'!$B$5:$L$60, 11, FALSE)*D34/100, IFERROR(VLOOKUP(C34, '04_RECIPE_DATABASE'!$B$5:$M$20, 12, FALSE)*D34, 0)))</f>
        <v/>
      </c>
      <c r="K34" s="7" t="n"/>
      <c r="L34" s="58" t="n"/>
      <c r="N34" s="99" t="n">
        <v>46343</v>
      </c>
      <c r="O34" s="100">
        <f>TEXT(N34, "dddd")</f>
        <v/>
      </c>
      <c r="P34" s="101">
        <f>IF(U34=0, "", SUMIFS($F$5:$F$1500, $A$5:$A$1500, N34))</f>
        <v/>
      </c>
      <c r="Q34" s="102">
        <f>IF(U34=0, "", SUMIFS($G$5:$G$1500, $A$5:$A$1500, N34))</f>
        <v/>
      </c>
      <c r="R34" s="102">
        <f>IF(U34=0, "", SUMIFS($H$5:$H$1500, $A$5:$A$1500, N34))</f>
        <v/>
      </c>
      <c r="S34" s="102">
        <f>IF(U34=0, "", SUMIFS($I$5:$I$1500, $A$5:$A$1500, N34))</f>
        <v/>
      </c>
      <c r="T34" s="101">
        <f>IF(U34=0, "", SUMIFS($J$5:$J$1500, $A$5:$A$1500, N34))</f>
        <v/>
      </c>
      <c r="U34" s="103">
        <f>COUNTIFS($A$5:$A$1500, N34)</f>
        <v/>
      </c>
      <c r="V34" s="104">
        <f>IF(U34=0, "CHƯA NHẬP", IF(U34&lt;3, "INCOMPLETE (Chưa đủ bữa)", "COMPLETE (Đầy đủ)"))</f>
        <v/>
      </c>
      <c r="W34" s="105">
        <f>IF(P34="", "", P34/'02_NUTRITION_SETUP'!$C$20)</f>
        <v/>
      </c>
      <c r="X34" s="105">
        <f>IF(Q34="", "", Q34/'02_NUTRITION_SETUP'!$C$21)</f>
        <v/>
      </c>
    </row>
    <row r="35" ht="22" customHeight="1">
      <c r="A35" s="57" t="n"/>
      <c r="B35" s="7" t="n"/>
      <c r="C35" s="58" t="n"/>
      <c r="D35" s="58" t="n"/>
      <c r="E35" s="7" t="n"/>
      <c r="F35" s="106">
        <f>IF(OR(C35="", D35=""), "", IFERROR(VLOOKUP(C35, '03_FOOD_DATABASE'!$B$5:$L$60, 6, FALSE)*D35/100, IFERROR(VLOOKUP(C35, '04_RECIPE_DATABASE'!$B$5:$M$20, 8, FALSE)*D35, 0)))</f>
        <v/>
      </c>
      <c r="G35" s="107">
        <f>IF(OR(C35="", D35=""), "", IFERROR(VLOOKUP(C35, '03_FOOD_DATABASE'!$B$5:$L$60, 7, FALSE)*D35/100, IFERROR(VLOOKUP(C35, '04_RECIPE_DATABASE'!$B$5:$M$20, 9, FALSE)*D35, 0)))</f>
        <v/>
      </c>
      <c r="H35" s="107">
        <f>IF(OR(C35="", D35=""), "", IFERROR(VLOOKUP(C35, '03_FOOD_DATABASE'!$B$5:$L$60, 8, FALSE)*D35/100, IFERROR(VLOOKUP(C35, '04_RECIPE_DATABASE'!$B$5:$M$20, 10, FALSE)*D35, 0)))</f>
        <v/>
      </c>
      <c r="I35" s="107">
        <f>IF(OR(C35="", D35=""), "", IFERROR(VLOOKUP(C35, '03_FOOD_DATABASE'!$B$5:$L$60, 9, FALSE)*D35/100, IFERROR(VLOOKUP(C35, '04_RECIPE_DATABASE'!$B$5:$M$20, 11, FALSE)*D35, 0)))</f>
        <v/>
      </c>
      <c r="J35" s="106">
        <f>IF(OR(C35="", D35=""), "", IFERROR(VLOOKUP(C35, '03_FOOD_DATABASE'!$B$5:$L$60, 11, FALSE)*D35/100, IFERROR(VLOOKUP(C35, '04_RECIPE_DATABASE'!$B$5:$M$20, 12, FALSE)*D35, 0)))</f>
        <v/>
      </c>
      <c r="K35" s="7" t="n"/>
      <c r="L35" s="58" t="n"/>
      <c r="N35" s="99" t="n">
        <v>46344</v>
      </c>
      <c r="O35" s="100">
        <f>TEXT(N35, "dddd")</f>
        <v/>
      </c>
      <c r="P35" s="101">
        <f>IF(U35=0, "", SUMIFS($F$5:$F$1500, $A$5:$A$1500, N35))</f>
        <v/>
      </c>
      <c r="Q35" s="102">
        <f>IF(U35=0, "", SUMIFS($G$5:$G$1500, $A$5:$A$1500, N35))</f>
        <v/>
      </c>
      <c r="R35" s="102">
        <f>IF(U35=0, "", SUMIFS($H$5:$H$1500, $A$5:$A$1500, N35))</f>
        <v/>
      </c>
      <c r="S35" s="102">
        <f>IF(U35=0, "", SUMIFS($I$5:$I$1500, $A$5:$A$1500, N35))</f>
        <v/>
      </c>
      <c r="T35" s="101">
        <f>IF(U35=0, "", SUMIFS($J$5:$J$1500, $A$5:$A$1500, N35))</f>
        <v/>
      </c>
      <c r="U35" s="103">
        <f>COUNTIFS($A$5:$A$1500, N35)</f>
        <v/>
      </c>
      <c r="V35" s="104">
        <f>IF(U35=0, "CHƯA NHẬP", IF(U35&lt;3, "INCOMPLETE (Chưa đủ bữa)", "COMPLETE (Đầy đủ)"))</f>
        <v/>
      </c>
      <c r="W35" s="105">
        <f>IF(P35="", "", P35/'02_NUTRITION_SETUP'!$C$20)</f>
        <v/>
      </c>
      <c r="X35" s="105">
        <f>IF(Q35="", "", Q35/'02_NUTRITION_SETUP'!$C$21)</f>
        <v/>
      </c>
    </row>
    <row r="36" ht="22" customHeight="1">
      <c r="A36" s="57" t="n"/>
      <c r="B36" s="7" t="n"/>
      <c r="C36" s="58" t="n"/>
      <c r="D36" s="58" t="n"/>
      <c r="E36" s="7" t="n"/>
      <c r="F36" s="106">
        <f>IF(OR(C36="", D36=""), "", IFERROR(VLOOKUP(C36, '03_FOOD_DATABASE'!$B$5:$L$60, 6, FALSE)*D36/100, IFERROR(VLOOKUP(C36, '04_RECIPE_DATABASE'!$B$5:$M$20, 8, FALSE)*D36, 0)))</f>
        <v/>
      </c>
      <c r="G36" s="107">
        <f>IF(OR(C36="", D36=""), "", IFERROR(VLOOKUP(C36, '03_FOOD_DATABASE'!$B$5:$L$60, 7, FALSE)*D36/100, IFERROR(VLOOKUP(C36, '04_RECIPE_DATABASE'!$B$5:$M$20, 9, FALSE)*D36, 0)))</f>
        <v/>
      </c>
      <c r="H36" s="107">
        <f>IF(OR(C36="", D36=""), "", IFERROR(VLOOKUP(C36, '03_FOOD_DATABASE'!$B$5:$L$60, 8, FALSE)*D36/100, IFERROR(VLOOKUP(C36, '04_RECIPE_DATABASE'!$B$5:$M$20, 10, FALSE)*D36, 0)))</f>
        <v/>
      </c>
      <c r="I36" s="107">
        <f>IF(OR(C36="", D36=""), "", IFERROR(VLOOKUP(C36, '03_FOOD_DATABASE'!$B$5:$L$60, 9, FALSE)*D36/100, IFERROR(VLOOKUP(C36, '04_RECIPE_DATABASE'!$B$5:$M$20, 11, FALSE)*D36, 0)))</f>
        <v/>
      </c>
      <c r="J36" s="106">
        <f>IF(OR(C36="", D36=""), "", IFERROR(VLOOKUP(C36, '03_FOOD_DATABASE'!$B$5:$L$60, 11, FALSE)*D36/100, IFERROR(VLOOKUP(C36, '04_RECIPE_DATABASE'!$B$5:$M$20, 12, FALSE)*D36, 0)))</f>
        <v/>
      </c>
      <c r="K36" s="7" t="n"/>
      <c r="L36" s="58" t="n"/>
      <c r="N36" s="99" t="n">
        <v>46345</v>
      </c>
      <c r="O36" s="100">
        <f>TEXT(N36, "dddd")</f>
        <v/>
      </c>
      <c r="P36" s="101">
        <f>IF(U36=0, "", SUMIFS($F$5:$F$1500, $A$5:$A$1500, N36))</f>
        <v/>
      </c>
      <c r="Q36" s="102">
        <f>IF(U36=0, "", SUMIFS($G$5:$G$1500, $A$5:$A$1500, N36))</f>
        <v/>
      </c>
      <c r="R36" s="102">
        <f>IF(U36=0, "", SUMIFS($H$5:$H$1500, $A$5:$A$1500, N36))</f>
        <v/>
      </c>
      <c r="S36" s="102">
        <f>IF(U36=0, "", SUMIFS($I$5:$I$1500, $A$5:$A$1500, N36))</f>
        <v/>
      </c>
      <c r="T36" s="101">
        <f>IF(U36=0, "", SUMIFS($J$5:$J$1500, $A$5:$A$1500, N36))</f>
        <v/>
      </c>
      <c r="U36" s="103">
        <f>COUNTIFS($A$5:$A$1500, N36)</f>
        <v/>
      </c>
      <c r="V36" s="104">
        <f>IF(U36=0, "CHƯA NHẬP", IF(U36&lt;3, "INCOMPLETE (Chưa đủ bữa)", "COMPLETE (Đầy đủ)"))</f>
        <v/>
      </c>
      <c r="W36" s="105">
        <f>IF(P36="", "", P36/'02_NUTRITION_SETUP'!$C$20)</f>
        <v/>
      </c>
      <c r="X36" s="105">
        <f>IF(Q36="", "", Q36/'02_NUTRITION_SETUP'!$C$21)</f>
        <v/>
      </c>
    </row>
    <row r="37" ht="22" customHeight="1">
      <c r="A37" s="57" t="n"/>
      <c r="B37" s="7" t="n"/>
      <c r="C37" s="58" t="n"/>
      <c r="D37" s="58" t="n"/>
      <c r="E37" s="7" t="n"/>
      <c r="F37" s="106">
        <f>IF(OR(C37="", D37=""), "", IFERROR(VLOOKUP(C37, '03_FOOD_DATABASE'!$B$5:$L$60, 6, FALSE)*D37/100, IFERROR(VLOOKUP(C37, '04_RECIPE_DATABASE'!$B$5:$M$20, 8, FALSE)*D37, 0)))</f>
        <v/>
      </c>
      <c r="G37" s="107">
        <f>IF(OR(C37="", D37=""), "", IFERROR(VLOOKUP(C37, '03_FOOD_DATABASE'!$B$5:$L$60, 7, FALSE)*D37/100, IFERROR(VLOOKUP(C37, '04_RECIPE_DATABASE'!$B$5:$M$20, 9, FALSE)*D37, 0)))</f>
        <v/>
      </c>
      <c r="H37" s="107">
        <f>IF(OR(C37="", D37=""), "", IFERROR(VLOOKUP(C37, '03_FOOD_DATABASE'!$B$5:$L$60, 8, FALSE)*D37/100, IFERROR(VLOOKUP(C37, '04_RECIPE_DATABASE'!$B$5:$M$20, 10, FALSE)*D37, 0)))</f>
        <v/>
      </c>
      <c r="I37" s="107">
        <f>IF(OR(C37="", D37=""), "", IFERROR(VLOOKUP(C37, '03_FOOD_DATABASE'!$B$5:$L$60, 9, FALSE)*D37/100, IFERROR(VLOOKUP(C37, '04_RECIPE_DATABASE'!$B$5:$M$20, 11, FALSE)*D37, 0)))</f>
        <v/>
      </c>
      <c r="J37" s="106">
        <f>IF(OR(C37="", D37=""), "", IFERROR(VLOOKUP(C37, '03_FOOD_DATABASE'!$B$5:$L$60, 11, FALSE)*D37/100, IFERROR(VLOOKUP(C37, '04_RECIPE_DATABASE'!$B$5:$M$20, 12, FALSE)*D37, 0)))</f>
        <v/>
      </c>
      <c r="K37" s="7" t="n"/>
      <c r="L37" s="58" t="n"/>
      <c r="N37" s="99" t="n">
        <v>46346</v>
      </c>
      <c r="O37" s="100">
        <f>TEXT(N37, "dddd")</f>
        <v/>
      </c>
      <c r="P37" s="101">
        <f>IF(U37=0, "", SUMIFS($F$5:$F$1500, $A$5:$A$1500, N37))</f>
        <v/>
      </c>
      <c r="Q37" s="102">
        <f>IF(U37=0, "", SUMIFS($G$5:$G$1500, $A$5:$A$1500, N37))</f>
        <v/>
      </c>
      <c r="R37" s="102">
        <f>IF(U37=0, "", SUMIFS($H$5:$H$1500, $A$5:$A$1500, N37))</f>
        <v/>
      </c>
      <c r="S37" s="102">
        <f>IF(U37=0, "", SUMIFS($I$5:$I$1500, $A$5:$A$1500, N37))</f>
        <v/>
      </c>
      <c r="T37" s="101">
        <f>IF(U37=0, "", SUMIFS($J$5:$J$1500, $A$5:$A$1500, N37))</f>
        <v/>
      </c>
      <c r="U37" s="103">
        <f>COUNTIFS($A$5:$A$1500, N37)</f>
        <v/>
      </c>
      <c r="V37" s="104">
        <f>IF(U37=0, "CHƯA NHẬP", IF(U37&lt;3, "INCOMPLETE (Chưa đủ bữa)", "COMPLETE (Đầy đủ)"))</f>
        <v/>
      </c>
      <c r="W37" s="105">
        <f>IF(P37="", "", P37/'02_NUTRITION_SETUP'!$C$20)</f>
        <v/>
      </c>
      <c r="X37" s="105">
        <f>IF(Q37="", "", Q37/'02_NUTRITION_SETUP'!$C$21)</f>
        <v/>
      </c>
    </row>
    <row r="38" ht="22" customHeight="1">
      <c r="A38" s="57" t="n"/>
      <c r="B38" s="7" t="n"/>
      <c r="C38" s="58" t="n"/>
      <c r="D38" s="58" t="n"/>
      <c r="E38" s="7" t="n"/>
      <c r="F38" s="106">
        <f>IF(OR(C38="", D38=""), "", IFERROR(VLOOKUP(C38, '03_FOOD_DATABASE'!$B$5:$L$60, 6, FALSE)*D38/100, IFERROR(VLOOKUP(C38, '04_RECIPE_DATABASE'!$B$5:$M$20, 8, FALSE)*D38, 0)))</f>
        <v/>
      </c>
      <c r="G38" s="107">
        <f>IF(OR(C38="", D38=""), "", IFERROR(VLOOKUP(C38, '03_FOOD_DATABASE'!$B$5:$L$60, 7, FALSE)*D38/100, IFERROR(VLOOKUP(C38, '04_RECIPE_DATABASE'!$B$5:$M$20, 9, FALSE)*D38, 0)))</f>
        <v/>
      </c>
      <c r="H38" s="107">
        <f>IF(OR(C38="", D38=""), "", IFERROR(VLOOKUP(C38, '03_FOOD_DATABASE'!$B$5:$L$60, 8, FALSE)*D38/100, IFERROR(VLOOKUP(C38, '04_RECIPE_DATABASE'!$B$5:$M$20, 10, FALSE)*D38, 0)))</f>
        <v/>
      </c>
      <c r="I38" s="107">
        <f>IF(OR(C38="", D38=""), "", IFERROR(VLOOKUP(C38, '03_FOOD_DATABASE'!$B$5:$L$60, 9, FALSE)*D38/100, IFERROR(VLOOKUP(C38, '04_RECIPE_DATABASE'!$B$5:$M$20, 11, FALSE)*D38, 0)))</f>
        <v/>
      </c>
      <c r="J38" s="106">
        <f>IF(OR(C38="", D38=""), "", IFERROR(VLOOKUP(C38, '03_FOOD_DATABASE'!$B$5:$L$60, 11, FALSE)*D38/100, IFERROR(VLOOKUP(C38, '04_RECIPE_DATABASE'!$B$5:$M$20, 12, FALSE)*D38, 0)))</f>
        <v/>
      </c>
      <c r="K38" s="7" t="n"/>
      <c r="L38" s="58" t="n"/>
      <c r="N38" s="99" t="n">
        <v>46347</v>
      </c>
      <c r="O38" s="100">
        <f>TEXT(N38, "dddd")</f>
        <v/>
      </c>
      <c r="P38" s="101">
        <f>IF(U38=0, "", SUMIFS($F$5:$F$1500, $A$5:$A$1500, N38))</f>
        <v/>
      </c>
      <c r="Q38" s="102">
        <f>IF(U38=0, "", SUMIFS($G$5:$G$1500, $A$5:$A$1500, N38))</f>
        <v/>
      </c>
      <c r="R38" s="102">
        <f>IF(U38=0, "", SUMIFS($H$5:$H$1500, $A$5:$A$1500, N38))</f>
        <v/>
      </c>
      <c r="S38" s="102">
        <f>IF(U38=0, "", SUMIFS($I$5:$I$1500, $A$5:$A$1500, N38))</f>
        <v/>
      </c>
      <c r="T38" s="101">
        <f>IF(U38=0, "", SUMIFS($J$5:$J$1500, $A$5:$A$1500, N38))</f>
        <v/>
      </c>
      <c r="U38" s="103">
        <f>COUNTIFS($A$5:$A$1500, N38)</f>
        <v/>
      </c>
      <c r="V38" s="104">
        <f>IF(U38=0, "CHƯA NHẬP", IF(U38&lt;3, "INCOMPLETE (Chưa đủ bữa)", "COMPLETE (Đầy đủ)"))</f>
        <v/>
      </c>
      <c r="W38" s="105">
        <f>IF(P38="", "", P38/'02_NUTRITION_SETUP'!$C$20)</f>
        <v/>
      </c>
      <c r="X38" s="105">
        <f>IF(Q38="", "", Q38/'02_NUTRITION_SETUP'!$C$21)</f>
        <v/>
      </c>
    </row>
    <row r="39" ht="22" customHeight="1">
      <c r="A39" s="57" t="n"/>
      <c r="B39" s="7" t="n"/>
      <c r="C39" s="58" t="n"/>
      <c r="D39" s="58" t="n"/>
      <c r="E39" s="7" t="n"/>
      <c r="F39" s="106">
        <f>IF(OR(C39="", D39=""), "", IFERROR(VLOOKUP(C39, '03_FOOD_DATABASE'!$B$5:$L$60, 6, FALSE)*D39/100, IFERROR(VLOOKUP(C39, '04_RECIPE_DATABASE'!$B$5:$M$20, 8, FALSE)*D39, 0)))</f>
        <v/>
      </c>
      <c r="G39" s="107">
        <f>IF(OR(C39="", D39=""), "", IFERROR(VLOOKUP(C39, '03_FOOD_DATABASE'!$B$5:$L$60, 7, FALSE)*D39/100, IFERROR(VLOOKUP(C39, '04_RECIPE_DATABASE'!$B$5:$M$20, 9, FALSE)*D39, 0)))</f>
        <v/>
      </c>
      <c r="H39" s="107">
        <f>IF(OR(C39="", D39=""), "", IFERROR(VLOOKUP(C39, '03_FOOD_DATABASE'!$B$5:$L$60, 8, FALSE)*D39/100, IFERROR(VLOOKUP(C39, '04_RECIPE_DATABASE'!$B$5:$M$20, 10, FALSE)*D39, 0)))</f>
        <v/>
      </c>
      <c r="I39" s="107">
        <f>IF(OR(C39="", D39=""), "", IFERROR(VLOOKUP(C39, '03_FOOD_DATABASE'!$B$5:$L$60, 9, FALSE)*D39/100, IFERROR(VLOOKUP(C39, '04_RECIPE_DATABASE'!$B$5:$M$20, 11, FALSE)*D39, 0)))</f>
        <v/>
      </c>
      <c r="J39" s="106">
        <f>IF(OR(C39="", D39=""), "", IFERROR(VLOOKUP(C39, '03_FOOD_DATABASE'!$B$5:$L$60, 11, FALSE)*D39/100, IFERROR(VLOOKUP(C39, '04_RECIPE_DATABASE'!$B$5:$M$20, 12, FALSE)*D39, 0)))</f>
        <v/>
      </c>
      <c r="K39" s="7" t="n"/>
      <c r="L39" s="58" t="n"/>
      <c r="N39" s="99" t="n">
        <v>46348</v>
      </c>
      <c r="O39" s="100">
        <f>TEXT(N39, "dddd")</f>
        <v/>
      </c>
      <c r="P39" s="101">
        <f>IF(U39=0, "", SUMIFS($F$5:$F$1500, $A$5:$A$1500, N39))</f>
        <v/>
      </c>
      <c r="Q39" s="102">
        <f>IF(U39=0, "", SUMIFS($G$5:$G$1500, $A$5:$A$1500, N39))</f>
        <v/>
      </c>
      <c r="R39" s="102">
        <f>IF(U39=0, "", SUMIFS($H$5:$H$1500, $A$5:$A$1500, N39))</f>
        <v/>
      </c>
      <c r="S39" s="102">
        <f>IF(U39=0, "", SUMIFS($I$5:$I$1500, $A$5:$A$1500, N39))</f>
        <v/>
      </c>
      <c r="T39" s="101">
        <f>IF(U39=0, "", SUMIFS($J$5:$J$1500, $A$5:$A$1500, N39))</f>
        <v/>
      </c>
      <c r="U39" s="103">
        <f>COUNTIFS($A$5:$A$1500, N39)</f>
        <v/>
      </c>
      <c r="V39" s="104">
        <f>IF(U39=0, "CHƯA NHẬP", IF(U39&lt;3, "INCOMPLETE (Chưa đủ bữa)", "COMPLETE (Đầy đủ)"))</f>
        <v/>
      </c>
      <c r="W39" s="105">
        <f>IF(P39="", "", P39/'02_NUTRITION_SETUP'!$C$20)</f>
        <v/>
      </c>
      <c r="X39" s="105">
        <f>IF(Q39="", "", Q39/'02_NUTRITION_SETUP'!$C$21)</f>
        <v/>
      </c>
    </row>
    <row r="40" ht="22" customHeight="1">
      <c r="A40" s="57" t="n"/>
      <c r="B40" s="7" t="n"/>
      <c r="C40" s="58" t="n"/>
      <c r="D40" s="58" t="n"/>
      <c r="E40" s="7" t="n"/>
      <c r="F40" s="106">
        <f>IF(OR(C40="", D40=""), "", IFERROR(VLOOKUP(C40, '03_FOOD_DATABASE'!$B$5:$L$60, 6, FALSE)*D40/100, IFERROR(VLOOKUP(C40, '04_RECIPE_DATABASE'!$B$5:$M$20, 8, FALSE)*D40, 0)))</f>
        <v/>
      </c>
      <c r="G40" s="107">
        <f>IF(OR(C40="", D40=""), "", IFERROR(VLOOKUP(C40, '03_FOOD_DATABASE'!$B$5:$L$60, 7, FALSE)*D40/100, IFERROR(VLOOKUP(C40, '04_RECIPE_DATABASE'!$B$5:$M$20, 9, FALSE)*D40, 0)))</f>
        <v/>
      </c>
      <c r="H40" s="107">
        <f>IF(OR(C40="", D40=""), "", IFERROR(VLOOKUP(C40, '03_FOOD_DATABASE'!$B$5:$L$60, 8, FALSE)*D40/100, IFERROR(VLOOKUP(C40, '04_RECIPE_DATABASE'!$B$5:$M$20, 10, FALSE)*D40, 0)))</f>
        <v/>
      </c>
      <c r="I40" s="107">
        <f>IF(OR(C40="", D40=""), "", IFERROR(VLOOKUP(C40, '03_FOOD_DATABASE'!$B$5:$L$60, 9, FALSE)*D40/100, IFERROR(VLOOKUP(C40, '04_RECIPE_DATABASE'!$B$5:$M$20, 11, FALSE)*D40, 0)))</f>
        <v/>
      </c>
      <c r="J40" s="106">
        <f>IF(OR(C40="", D40=""), "", IFERROR(VLOOKUP(C40, '03_FOOD_DATABASE'!$B$5:$L$60, 11, FALSE)*D40/100, IFERROR(VLOOKUP(C40, '04_RECIPE_DATABASE'!$B$5:$M$20, 12, FALSE)*D40, 0)))</f>
        <v/>
      </c>
      <c r="K40" s="7" t="n"/>
      <c r="L40" s="58" t="n"/>
      <c r="N40" s="99" t="n">
        <v>46349</v>
      </c>
      <c r="O40" s="100">
        <f>TEXT(N40, "dddd")</f>
        <v/>
      </c>
      <c r="P40" s="101">
        <f>IF(U40=0, "", SUMIFS($F$5:$F$1500, $A$5:$A$1500, N40))</f>
        <v/>
      </c>
      <c r="Q40" s="102">
        <f>IF(U40=0, "", SUMIFS($G$5:$G$1500, $A$5:$A$1500, N40))</f>
        <v/>
      </c>
      <c r="R40" s="102">
        <f>IF(U40=0, "", SUMIFS($H$5:$H$1500, $A$5:$A$1500, N40))</f>
        <v/>
      </c>
      <c r="S40" s="102">
        <f>IF(U40=0, "", SUMIFS($I$5:$I$1500, $A$5:$A$1500, N40))</f>
        <v/>
      </c>
      <c r="T40" s="101">
        <f>IF(U40=0, "", SUMIFS($J$5:$J$1500, $A$5:$A$1500, N40))</f>
        <v/>
      </c>
      <c r="U40" s="103">
        <f>COUNTIFS($A$5:$A$1500, N40)</f>
        <v/>
      </c>
      <c r="V40" s="104">
        <f>IF(U40=0, "CHƯA NHẬP", IF(U40&lt;3, "INCOMPLETE (Chưa đủ bữa)", "COMPLETE (Đầy đủ)"))</f>
        <v/>
      </c>
      <c r="W40" s="105">
        <f>IF(P40="", "", P40/'02_NUTRITION_SETUP'!$C$20)</f>
        <v/>
      </c>
      <c r="X40" s="105">
        <f>IF(Q40="", "", Q40/'02_NUTRITION_SETUP'!$C$21)</f>
        <v/>
      </c>
    </row>
    <row r="41" ht="22" customHeight="1">
      <c r="A41" s="57" t="n"/>
      <c r="B41" s="7" t="n"/>
      <c r="C41" s="58" t="n"/>
      <c r="D41" s="58" t="n"/>
      <c r="E41" s="7" t="n"/>
      <c r="F41" s="106">
        <f>IF(OR(C41="", D41=""), "", IFERROR(VLOOKUP(C41, '03_FOOD_DATABASE'!$B$5:$L$60, 6, FALSE)*D41/100, IFERROR(VLOOKUP(C41, '04_RECIPE_DATABASE'!$B$5:$M$20, 8, FALSE)*D41, 0)))</f>
        <v/>
      </c>
      <c r="G41" s="107">
        <f>IF(OR(C41="", D41=""), "", IFERROR(VLOOKUP(C41, '03_FOOD_DATABASE'!$B$5:$L$60, 7, FALSE)*D41/100, IFERROR(VLOOKUP(C41, '04_RECIPE_DATABASE'!$B$5:$M$20, 9, FALSE)*D41, 0)))</f>
        <v/>
      </c>
      <c r="H41" s="107">
        <f>IF(OR(C41="", D41=""), "", IFERROR(VLOOKUP(C41, '03_FOOD_DATABASE'!$B$5:$L$60, 8, FALSE)*D41/100, IFERROR(VLOOKUP(C41, '04_RECIPE_DATABASE'!$B$5:$M$20, 10, FALSE)*D41, 0)))</f>
        <v/>
      </c>
      <c r="I41" s="107">
        <f>IF(OR(C41="", D41=""), "", IFERROR(VLOOKUP(C41, '03_FOOD_DATABASE'!$B$5:$L$60, 9, FALSE)*D41/100, IFERROR(VLOOKUP(C41, '04_RECIPE_DATABASE'!$B$5:$M$20, 11, FALSE)*D41, 0)))</f>
        <v/>
      </c>
      <c r="J41" s="106">
        <f>IF(OR(C41="", D41=""), "", IFERROR(VLOOKUP(C41, '03_FOOD_DATABASE'!$B$5:$L$60, 11, FALSE)*D41/100, IFERROR(VLOOKUP(C41, '04_RECIPE_DATABASE'!$B$5:$M$20, 12, FALSE)*D41, 0)))</f>
        <v/>
      </c>
      <c r="K41" s="7" t="n"/>
      <c r="L41" s="58" t="n"/>
      <c r="N41" s="99" t="n">
        <v>46350</v>
      </c>
      <c r="O41" s="100">
        <f>TEXT(N41, "dddd")</f>
        <v/>
      </c>
      <c r="P41" s="101">
        <f>IF(U41=0, "", SUMIFS($F$5:$F$1500, $A$5:$A$1500, N41))</f>
        <v/>
      </c>
      <c r="Q41" s="102">
        <f>IF(U41=0, "", SUMIFS($G$5:$G$1500, $A$5:$A$1500, N41))</f>
        <v/>
      </c>
      <c r="R41" s="102">
        <f>IF(U41=0, "", SUMIFS($H$5:$H$1500, $A$5:$A$1500, N41))</f>
        <v/>
      </c>
      <c r="S41" s="102">
        <f>IF(U41=0, "", SUMIFS($I$5:$I$1500, $A$5:$A$1500, N41))</f>
        <v/>
      </c>
      <c r="T41" s="101">
        <f>IF(U41=0, "", SUMIFS($J$5:$J$1500, $A$5:$A$1500, N41))</f>
        <v/>
      </c>
      <c r="U41" s="103">
        <f>COUNTIFS($A$5:$A$1500, N41)</f>
        <v/>
      </c>
      <c r="V41" s="104">
        <f>IF(U41=0, "CHƯA NHẬP", IF(U41&lt;3, "INCOMPLETE (Chưa đủ bữa)", "COMPLETE (Đầy đủ)"))</f>
        <v/>
      </c>
      <c r="W41" s="105">
        <f>IF(P41="", "", P41/'02_NUTRITION_SETUP'!$C$20)</f>
        <v/>
      </c>
      <c r="X41" s="105">
        <f>IF(Q41="", "", Q41/'02_NUTRITION_SETUP'!$C$21)</f>
        <v/>
      </c>
    </row>
    <row r="42" ht="22" customHeight="1">
      <c r="A42" s="57" t="n"/>
      <c r="B42" s="7" t="n"/>
      <c r="C42" s="58" t="n"/>
      <c r="D42" s="58" t="n"/>
      <c r="E42" s="7" t="n"/>
      <c r="F42" s="106">
        <f>IF(OR(C42="", D42=""), "", IFERROR(VLOOKUP(C42, '03_FOOD_DATABASE'!$B$5:$L$60, 6, FALSE)*D42/100, IFERROR(VLOOKUP(C42, '04_RECIPE_DATABASE'!$B$5:$M$20, 8, FALSE)*D42, 0)))</f>
        <v/>
      </c>
      <c r="G42" s="107">
        <f>IF(OR(C42="", D42=""), "", IFERROR(VLOOKUP(C42, '03_FOOD_DATABASE'!$B$5:$L$60, 7, FALSE)*D42/100, IFERROR(VLOOKUP(C42, '04_RECIPE_DATABASE'!$B$5:$M$20, 9, FALSE)*D42, 0)))</f>
        <v/>
      </c>
      <c r="H42" s="107">
        <f>IF(OR(C42="", D42=""), "", IFERROR(VLOOKUP(C42, '03_FOOD_DATABASE'!$B$5:$L$60, 8, FALSE)*D42/100, IFERROR(VLOOKUP(C42, '04_RECIPE_DATABASE'!$B$5:$M$20, 10, FALSE)*D42, 0)))</f>
        <v/>
      </c>
      <c r="I42" s="107">
        <f>IF(OR(C42="", D42=""), "", IFERROR(VLOOKUP(C42, '03_FOOD_DATABASE'!$B$5:$L$60, 9, FALSE)*D42/100, IFERROR(VLOOKUP(C42, '04_RECIPE_DATABASE'!$B$5:$M$20, 11, FALSE)*D42, 0)))</f>
        <v/>
      </c>
      <c r="J42" s="106">
        <f>IF(OR(C42="", D42=""), "", IFERROR(VLOOKUP(C42, '03_FOOD_DATABASE'!$B$5:$L$60, 11, FALSE)*D42/100, IFERROR(VLOOKUP(C42, '04_RECIPE_DATABASE'!$B$5:$M$20, 12, FALSE)*D42, 0)))</f>
        <v/>
      </c>
      <c r="K42" s="7" t="n"/>
      <c r="L42" s="58" t="n"/>
      <c r="N42" s="99" t="n">
        <v>46351</v>
      </c>
      <c r="O42" s="100">
        <f>TEXT(N42, "dddd")</f>
        <v/>
      </c>
      <c r="P42" s="101">
        <f>IF(U42=0, "", SUMIFS($F$5:$F$1500, $A$5:$A$1500, N42))</f>
        <v/>
      </c>
      <c r="Q42" s="102">
        <f>IF(U42=0, "", SUMIFS($G$5:$G$1500, $A$5:$A$1500, N42))</f>
        <v/>
      </c>
      <c r="R42" s="102">
        <f>IF(U42=0, "", SUMIFS($H$5:$H$1500, $A$5:$A$1500, N42))</f>
        <v/>
      </c>
      <c r="S42" s="102">
        <f>IF(U42=0, "", SUMIFS($I$5:$I$1500, $A$5:$A$1500, N42))</f>
        <v/>
      </c>
      <c r="T42" s="101">
        <f>IF(U42=0, "", SUMIFS($J$5:$J$1500, $A$5:$A$1500, N42))</f>
        <v/>
      </c>
      <c r="U42" s="103">
        <f>COUNTIFS($A$5:$A$1500, N42)</f>
        <v/>
      </c>
      <c r="V42" s="104">
        <f>IF(U42=0, "CHƯA NHẬP", IF(U42&lt;3, "INCOMPLETE (Chưa đủ bữa)", "COMPLETE (Đầy đủ)"))</f>
        <v/>
      </c>
      <c r="W42" s="105">
        <f>IF(P42="", "", P42/'02_NUTRITION_SETUP'!$C$20)</f>
        <v/>
      </c>
      <c r="X42" s="105">
        <f>IF(Q42="", "", Q42/'02_NUTRITION_SETUP'!$C$21)</f>
        <v/>
      </c>
    </row>
    <row r="43" ht="22" customHeight="1">
      <c r="A43" s="57" t="n"/>
      <c r="B43" s="7" t="n"/>
      <c r="C43" s="58" t="n"/>
      <c r="D43" s="58" t="n"/>
      <c r="E43" s="7" t="n"/>
      <c r="F43" s="106">
        <f>IF(OR(C43="", D43=""), "", IFERROR(VLOOKUP(C43, '03_FOOD_DATABASE'!$B$5:$L$60, 6, FALSE)*D43/100, IFERROR(VLOOKUP(C43, '04_RECIPE_DATABASE'!$B$5:$M$20, 8, FALSE)*D43, 0)))</f>
        <v/>
      </c>
      <c r="G43" s="107">
        <f>IF(OR(C43="", D43=""), "", IFERROR(VLOOKUP(C43, '03_FOOD_DATABASE'!$B$5:$L$60, 7, FALSE)*D43/100, IFERROR(VLOOKUP(C43, '04_RECIPE_DATABASE'!$B$5:$M$20, 9, FALSE)*D43, 0)))</f>
        <v/>
      </c>
      <c r="H43" s="107">
        <f>IF(OR(C43="", D43=""), "", IFERROR(VLOOKUP(C43, '03_FOOD_DATABASE'!$B$5:$L$60, 8, FALSE)*D43/100, IFERROR(VLOOKUP(C43, '04_RECIPE_DATABASE'!$B$5:$M$20, 10, FALSE)*D43, 0)))</f>
        <v/>
      </c>
      <c r="I43" s="107">
        <f>IF(OR(C43="", D43=""), "", IFERROR(VLOOKUP(C43, '03_FOOD_DATABASE'!$B$5:$L$60, 9, FALSE)*D43/100, IFERROR(VLOOKUP(C43, '04_RECIPE_DATABASE'!$B$5:$M$20, 11, FALSE)*D43, 0)))</f>
        <v/>
      </c>
      <c r="J43" s="106">
        <f>IF(OR(C43="", D43=""), "", IFERROR(VLOOKUP(C43, '03_FOOD_DATABASE'!$B$5:$L$60, 11, FALSE)*D43/100, IFERROR(VLOOKUP(C43, '04_RECIPE_DATABASE'!$B$5:$M$20, 12, FALSE)*D43, 0)))</f>
        <v/>
      </c>
      <c r="K43" s="7" t="n"/>
      <c r="L43" s="58" t="n"/>
      <c r="N43" s="99" t="n">
        <v>46352</v>
      </c>
      <c r="O43" s="100">
        <f>TEXT(N43, "dddd")</f>
        <v/>
      </c>
      <c r="P43" s="101">
        <f>IF(U43=0, "", SUMIFS($F$5:$F$1500, $A$5:$A$1500, N43))</f>
        <v/>
      </c>
      <c r="Q43" s="102">
        <f>IF(U43=0, "", SUMIFS($G$5:$G$1500, $A$5:$A$1500, N43))</f>
        <v/>
      </c>
      <c r="R43" s="102">
        <f>IF(U43=0, "", SUMIFS($H$5:$H$1500, $A$5:$A$1500, N43))</f>
        <v/>
      </c>
      <c r="S43" s="102">
        <f>IF(U43=0, "", SUMIFS($I$5:$I$1500, $A$5:$A$1500, N43))</f>
        <v/>
      </c>
      <c r="T43" s="101">
        <f>IF(U43=0, "", SUMIFS($J$5:$J$1500, $A$5:$A$1500, N43))</f>
        <v/>
      </c>
      <c r="U43" s="103">
        <f>COUNTIFS($A$5:$A$1500, N43)</f>
        <v/>
      </c>
      <c r="V43" s="104">
        <f>IF(U43=0, "CHƯA NHẬP", IF(U43&lt;3, "INCOMPLETE (Chưa đủ bữa)", "COMPLETE (Đầy đủ)"))</f>
        <v/>
      </c>
      <c r="W43" s="105">
        <f>IF(P43="", "", P43/'02_NUTRITION_SETUP'!$C$20)</f>
        <v/>
      </c>
      <c r="X43" s="105">
        <f>IF(Q43="", "", Q43/'02_NUTRITION_SETUP'!$C$21)</f>
        <v/>
      </c>
    </row>
    <row r="44" ht="22" customHeight="1">
      <c r="A44" s="57" t="n"/>
      <c r="B44" s="7" t="n"/>
      <c r="C44" s="58" t="n"/>
      <c r="D44" s="58" t="n"/>
      <c r="E44" s="7" t="n"/>
      <c r="F44" s="106">
        <f>IF(OR(C44="", D44=""), "", IFERROR(VLOOKUP(C44, '03_FOOD_DATABASE'!$B$5:$L$60, 6, FALSE)*D44/100, IFERROR(VLOOKUP(C44, '04_RECIPE_DATABASE'!$B$5:$M$20, 8, FALSE)*D44, 0)))</f>
        <v/>
      </c>
      <c r="G44" s="107">
        <f>IF(OR(C44="", D44=""), "", IFERROR(VLOOKUP(C44, '03_FOOD_DATABASE'!$B$5:$L$60, 7, FALSE)*D44/100, IFERROR(VLOOKUP(C44, '04_RECIPE_DATABASE'!$B$5:$M$20, 9, FALSE)*D44, 0)))</f>
        <v/>
      </c>
      <c r="H44" s="107">
        <f>IF(OR(C44="", D44=""), "", IFERROR(VLOOKUP(C44, '03_FOOD_DATABASE'!$B$5:$L$60, 8, FALSE)*D44/100, IFERROR(VLOOKUP(C44, '04_RECIPE_DATABASE'!$B$5:$M$20, 10, FALSE)*D44, 0)))</f>
        <v/>
      </c>
      <c r="I44" s="107">
        <f>IF(OR(C44="", D44=""), "", IFERROR(VLOOKUP(C44, '03_FOOD_DATABASE'!$B$5:$L$60, 9, FALSE)*D44/100, IFERROR(VLOOKUP(C44, '04_RECIPE_DATABASE'!$B$5:$M$20, 11, FALSE)*D44, 0)))</f>
        <v/>
      </c>
      <c r="J44" s="106">
        <f>IF(OR(C44="", D44=""), "", IFERROR(VLOOKUP(C44, '03_FOOD_DATABASE'!$B$5:$L$60, 11, FALSE)*D44/100, IFERROR(VLOOKUP(C44, '04_RECIPE_DATABASE'!$B$5:$M$20, 12, FALSE)*D44, 0)))</f>
        <v/>
      </c>
      <c r="K44" s="7" t="n"/>
      <c r="L44" s="58" t="n"/>
      <c r="N44" s="99" t="n">
        <v>46353</v>
      </c>
      <c r="O44" s="100">
        <f>TEXT(N44, "dddd")</f>
        <v/>
      </c>
      <c r="P44" s="101">
        <f>IF(U44=0, "", SUMIFS($F$5:$F$1500, $A$5:$A$1500, N44))</f>
        <v/>
      </c>
      <c r="Q44" s="102">
        <f>IF(U44=0, "", SUMIFS($G$5:$G$1500, $A$5:$A$1500, N44))</f>
        <v/>
      </c>
      <c r="R44" s="102">
        <f>IF(U44=0, "", SUMIFS($H$5:$H$1500, $A$5:$A$1500, N44))</f>
        <v/>
      </c>
      <c r="S44" s="102">
        <f>IF(U44=0, "", SUMIFS($I$5:$I$1500, $A$5:$A$1500, N44))</f>
        <v/>
      </c>
      <c r="T44" s="101">
        <f>IF(U44=0, "", SUMIFS($J$5:$J$1500, $A$5:$A$1500, N44))</f>
        <v/>
      </c>
      <c r="U44" s="103">
        <f>COUNTIFS($A$5:$A$1500, N44)</f>
        <v/>
      </c>
      <c r="V44" s="104">
        <f>IF(U44=0, "CHƯA NHẬP", IF(U44&lt;3, "INCOMPLETE (Chưa đủ bữa)", "COMPLETE (Đầy đủ)"))</f>
        <v/>
      </c>
      <c r="W44" s="105">
        <f>IF(P44="", "", P44/'02_NUTRITION_SETUP'!$C$20)</f>
        <v/>
      </c>
      <c r="X44" s="105">
        <f>IF(Q44="", "", Q44/'02_NUTRITION_SETUP'!$C$21)</f>
        <v/>
      </c>
    </row>
    <row r="45" ht="22" customHeight="1">
      <c r="A45" s="57" t="n"/>
      <c r="B45" s="7" t="n"/>
      <c r="C45" s="58" t="n"/>
      <c r="D45" s="58" t="n"/>
      <c r="E45" s="7" t="n"/>
      <c r="F45" s="106">
        <f>IF(OR(C45="", D45=""), "", IFERROR(VLOOKUP(C45, '03_FOOD_DATABASE'!$B$5:$L$60, 6, FALSE)*D45/100, IFERROR(VLOOKUP(C45, '04_RECIPE_DATABASE'!$B$5:$M$20, 8, FALSE)*D45, 0)))</f>
        <v/>
      </c>
      <c r="G45" s="107">
        <f>IF(OR(C45="", D45=""), "", IFERROR(VLOOKUP(C45, '03_FOOD_DATABASE'!$B$5:$L$60, 7, FALSE)*D45/100, IFERROR(VLOOKUP(C45, '04_RECIPE_DATABASE'!$B$5:$M$20, 9, FALSE)*D45, 0)))</f>
        <v/>
      </c>
      <c r="H45" s="107">
        <f>IF(OR(C45="", D45=""), "", IFERROR(VLOOKUP(C45, '03_FOOD_DATABASE'!$B$5:$L$60, 8, FALSE)*D45/100, IFERROR(VLOOKUP(C45, '04_RECIPE_DATABASE'!$B$5:$M$20, 10, FALSE)*D45, 0)))</f>
        <v/>
      </c>
      <c r="I45" s="107">
        <f>IF(OR(C45="", D45=""), "", IFERROR(VLOOKUP(C45, '03_FOOD_DATABASE'!$B$5:$L$60, 9, FALSE)*D45/100, IFERROR(VLOOKUP(C45, '04_RECIPE_DATABASE'!$B$5:$M$20, 11, FALSE)*D45, 0)))</f>
        <v/>
      </c>
      <c r="J45" s="106">
        <f>IF(OR(C45="", D45=""), "", IFERROR(VLOOKUP(C45, '03_FOOD_DATABASE'!$B$5:$L$60, 11, FALSE)*D45/100, IFERROR(VLOOKUP(C45, '04_RECIPE_DATABASE'!$B$5:$M$20, 12, FALSE)*D45, 0)))</f>
        <v/>
      </c>
      <c r="K45" s="7" t="n"/>
      <c r="L45" s="58" t="n"/>
      <c r="N45" s="99" t="n">
        <v>46354</v>
      </c>
      <c r="O45" s="100">
        <f>TEXT(N45, "dddd")</f>
        <v/>
      </c>
      <c r="P45" s="101">
        <f>IF(U45=0, "", SUMIFS($F$5:$F$1500, $A$5:$A$1500, N45))</f>
        <v/>
      </c>
      <c r="Q45" s="102">
        <f>IF(U45=0, "", SUMIFS($G$5:$G$1500, $A$5:$A$1500, N45))</f>
        <v/>
      </c>
      <c r="R45" s="102">
        <f>IF(U45=0, "", SUMIFS($H$5:$H$1500, $A$5:$A$1500, N45))</f>
        <v/>
      </c>
      <c r="S45" s="102">
        <f>IF(U45=0, "", SUMIFS($I$5:$I$1500, $A$5:$A$1500, N45))</f>
        <v/>
      </c>
      <c r="T45" s="101">
        <f>IF(U45=0, "", SUMIFS($J$5:$J$1500, $A$5:$A$1500, N45))</f>
        <v/>
      </c>
      <c r="U45" s="103">
        <f>COUNTIFS($A$5:$A$1500, N45)</f>
        <v/>
      </c>
      <c r="V45" s="104">
        <f>IF(U45=0, "CHƯA NHẬP", IF(U45&lt;3, "INCOMPLETE (Chưa đủ bữa)", "COMPLETE (Đầy đủ)"))</f>
        <v/>
      </c>
      <c r="W45" s="105">
        <f>IF(P45="", "", P45/'02_NUTRITION_SETUP'!$C$20)</f>
        <v/>
      </c>
      <c r="X45" s="105">
        <f>IF(Q45="", "", Q45/'02_NUTRITION_SETUP'!$C$21)</f>
        <v/>
      </c>
    </row>
    <row r="46" ht="22" customHeight="1">
      <c r="A46" s="57" t="n"/>
      <c r="B46" s="7" t="n"/>
      <c r="C46" s="58" t="n"/>
      <c r="D46" s="58" t="n"/>
      <c r="E46" s="7" t="n"/>
      <c r="F46" s="106">
        <f>IF(OR(C46="", D46=""), "", IFERROR(VLOOKUP(C46, '03_FOOD_DATABASE'!$B$5:$L$60, 6, FALSE)*D46/100, IFERROR(VLOOKUP(C46, '04_RECIPE_DATABASE'!$B$5:$M$20, 8, FALSE)*D46, 0)))</f>
        <v/>
      </c>
      <c r="G46" s="107">
        <f>IF(OR(C46="", D46=""), "", IFERROR(VLOOKUP(C46, '03_FOOD_DATABASE'!$B$5:$L$60, 7, FALSE)*D46/100, IFERROR(VLOOKUP(C46, '04_RECIPE_DATABASE'!$B$5:$M$20, 9, FALSE)*D46, 0)))</f>
        <v/>
      </c>
      <c r="H46" s="107">
        <f>IF(OR(C46="", D46=""), "", IFERROR(VLOOKUP(C46, '03_FOOD_DATABASE'!$B$5:$L$60, 8, FALSE)*D46/100, IFERROR(VLOOKUP(C46, '04_RECIPE_DATABASE'!$B$5:$M$20, 10, FALSE)*D46, 0)))</f>
        <v/>
      </c>
      <c r="I46" s="107">
        <f>IF(OR(C46="", D46=""), "", IFERROR(VLOOKUP(C46, '03_FOOD_DATABASE'!$B$5:$L$60, 9, FALSE)*D46/100, IFERROR(VLOOKUP(C46, '04_RECIPE_DATABASE'!$B$5:$M$20, 11, FALSE)*D46, 0)))</f>
        <v/>
      </c>
      <c r="J46" s="106">
        <f>IF(OR(C46="", D46=""), "", IFERROR(VLOOKUP(C46, '03_FOOD_DATABASE'!$B$5:$L$60, 11, FALSE)*D46/100, IFERROR(VLOOKUP(C46, '04_RECIPE_DATABASE'!$B$5:$M$20, 12, FALSE)*D46, 0)))</f>
        <v/>
      </c>
      <c r="K46" s="7" t="n"/>
      <c r="L46" s="58" t="n"/>
      <c r="N46" s="99" t="n">
        <v>46355</v>
      </c>
      <c r="O46" s="100">
        <f>TEXT(N46, "dddd")</f>
        <v/>
      </c>
      <c r="P46" s="101">
        <f>IF(U46=0, "", SUMIFS($F$5:$F$1500, $A$5:$A$1500, N46))</f>
        <v/>
      </c>
      <c r="Q46" s="102">
        <f>IF(U46=0, "", SUMIFS($G$5:$G$1500, $A$5:$A$1500, N46))</f>
        <v/>
      </c>
      <c r="R46" s="102">
        <f>IF(U46=0, "", SUMIFS($H$5:$H$1500, $A$5:$A$1500, N46))</f>
        <v/>
      </c>
      <c r="S46" s="102">
        <f>IF(U46=0, "", SUMIFS($I$5:$I$1500, $A$5:$A$1500, N46))</f>
        <v/>
      </c>
      <c r="T46" s="101">
        <f>IF(U46=0, "", SUMIFS($J$5:$J$1500, $A$5:$A$1500, N46))</f>
        <v/>
      </c>
      <c r="U46" s="103">
        <f>COUNTIFS($A$5:$A$1500, N46)</f>
        <v/>
      </c>
      <c r="V46" s="104">
        <f>IF(U46=0, "CHƯA NHẬP", IF(U46&lt;3, "INCOMPLETE (Chưa đủ bữa)", "COMPLETE (Đầy đủ)"))</f>
        <v/>
      </c>
      <c r="W46" s="105">
        <f>IF(P46="", "", P46/'02_NUTRITION_SETUP'!$C$20)</f>
        <v/>
      </c>
      <c r="X46" s="105">
        <f>IF(Q46="", "", Q46/'02_NUTRITION_SETUP'!$C$21)</f>
        <v/>
      </c>
    </row>
    <row r="47" ht="22" customHeight="1">
      <c r="A47" s="57" t="n"/>
      <c r="B47" s="7" t="n"/>
      <c r="C47" s="58" t="n"/>
      <c r="D47" s="58" t="n"/>
      <c r="E47" s="7" t="n"/>
      <c r="F47" s="106">
        <f>IF(OR(C47="", D47=""), "", IFERROR(VLOOKUP(C47, '03_FOOD_DATABASE'!$B$5:$L$60, 6, FALSE)*D47/100, IFERROR(VLOOKUP(C47, '04_RECIPE_DATABASE'!$B$5:$M$20, 8, FALSE)*D47, 0)))</f>
        <v/>
      </c>
      <c r="G47" s="107">
        <f>IF(OR(C47="", D47=""), "", IFERROR(VLOOKUP(C47, '03_FOOD_DATABASE'!$B$5:$L$60, 7, FALSE)*D47/100, IFERROR(VLOOKUP(C47, '04_RECIPE_DATABASE'!$B$5:$M$20, 9, FALSE)*D47, 0)))</f>
        <v/>
      </c>
      <c r="H47" s="107">
        <f>IF(OR(C47="", D47=""), "", IFERROR(VLOOKUP(C47, '03_FOOD_DATABASE'!$B$5:$L$60, 8, FALSE)*D47/100, IFERROR(VLOOKUP(C47, '04_RECIPE_DATABASE'!$B$5:$M$20, 10, FALSE)*D47, 0)))</f>
        <v/>
      </c>
      <c r="I47" s="107">
        <f>IF(OR(C47="", D47=""), "", IFERROR(VLOOKUP(C47, '03_FOOD_DATABASE'!$B$5:$L$60, 9, FALSE)*D47/100, IFERROR(VLOOKUP(C47, '04_RECIPE_DATABASE'!$B$5:$M$20, 11, FALSE)*D47, 0)))</f>
        <v/>
      </c>
      <c r="J47" s="106">
        <f>IF(OR(C47="", D47=""), "", IFERROR(VLOOKUP(C47, '03_FOOD_DATABASE'!$B$5:$L$60, 11, FALSE)*D47/100, IFERROR(VLOOKUP(C47, '04_RECIPE_DATABASE'!$B$5:$M$20, 12, FALSE)*D47, 0)))</f>
        <v/>
      </c>
      <c r="K47" s="7" t="n"/>
      <c r="L47" s="58" t="n"/>
      <c r="N47" s="108" t="n">
        <v>46356</v>
      </c>
      <c r="O47" s="109">
        <f>TEXT(N47, "dddd")</f>
        <v/>
      </c>
      <c r="P47" s="110">
        <f>IF(U47=0, "", SUMIFS($F$5:$F$1500, $A$5:$A$1500, N47))</f>
        <v/>
      </c>
      <c r="Q47" s="111">
        <f>IF(U47=0, "", SUMIFS($G$5:$G$1500, $A$5:$A$1500, N47))</f>
        <v/>
      </c>
      <c r="R47" s="111">
        <f>IF(U47=0, "", SUMIFS($H$5:$H$1500, $A$5:$A$1500, N47))</f>
        <v/>
      </c>
      <c r="S47" s="111">
        <f>IF(U47=0, "", SUMIFS($I$5:$I$1500, $A$5:$A$1500, N47))</f>
        <v/>
      </c>
      <c r="T47" s="110">
        <f>IF(U47=0, "", SUMIFS($J$5:$J$1500, $A$5:$A$1500, N47))</f>
        <v/>
      </c>
      <c r="U47" s="112">
        <f>COUNTIFS($A$5:$A$1500, N47)</f>
        <v/>
      </c>
      <c r="V47" s="113">
        <f>IF(U47=0, "CHƯA NHẬP", IF(U47&lt;3, "INCOMPLETE (Chưa đủ bữa)", "COMPLETE (Đầy đủ)"))</f>
        <v/>
      </c>
      <c r="W47" s="114">
        <f>IF(P47="", "", P47/'02_NUTRITION_SETUP'!$C$20)</f>
        <v/>
      </c>
      <c r="X47" s="114">
        <f>IF(Q47="", "", Q47/'02_NUTRITION_SETUP'!$C$21)</f>
        <v/>
      </c>
    </row>
    <row r="48" ht="22" customHeight="1">
      <c r="A48" s="57" t="n"/>
      <c r="B48" s="7" t="n"/>
      <c r="C48" s="58" t="n"/>
      <c r="D48" s="58" t="n"/>
      <c r="E48" s="7" t="n"/>
      <c r="F48" s="106">
        <f>IF(OR(C48="", D48=""), "", IFERROR(VLOOKUP(C48, '03_FOOD_DATABASE'!$B$5:$L$60, 6, FALSE)*D48/100, IFERROR(VLOOKUP(C48, '04_RECIPE_DATABASE'!$B$5:$M$20, 8, FALSE)*D48, 0)))</f>
        <v/>
      </c>
      <c r="G48" s="107">
        <f>IF(OR(C48="", D48=""), "", IFERROR(VLOOKUP(C48, '03_FOOD_DATABASE'!$B$5:$L$60, 7, FALSE)*D48/100, IFERROR(VLOOKUP(C48, '04_RECIPE_DATABASE'!$B$5:$M$20, 9, FALSE)*D48, 0)))</f>
        <v/>
      </c>
      <c r="H48" s="107">
        <f>IF(OR(C48="", D48=""), "", IFERROR(VLOOKUP(C48, '03_FOOD_DATABASE'!$B$5:$L$60, 8, FALSE)*D48/100, IFERROR(VLOOKUP(C48, '04_RECIPE_DATABASE'!$B$5:$M$20, 10, FALSE)*D48, 0)))</f>
        <v/>
      </c>
      <c r="I48" s="107">
        <f>IF(OR(C48="", D48=""), "", IFERROR(VLOOKUP(C48, '03_FOOD_DATABASE'!$B$5:$L$60, 9, FALSE)*D48/100, IFERROR(VLOOKUP(C48, '04_RECIPE_DATABASE'!$B$5:$M$20, 11, FALSE)*D48, 0)))</f>
        <v/>
      </c>
      <c r="J48" s="106">
        <f>IF(OR(C48="", D48=""), "", IFERROR(VLOOKUP(C48, '03_FOOD_DATABASE'!$B$5:$L$60, 11, FALSE)*D48/100, IFERROR(VLOOKUP(C48, '04_RECIPE_DATABASE'!$B$5:$M$20, 12, FALSE)*D48, 0)))</f>
        <v/>
      </c>
      <c r="K48" s="7" t="n"/>
      <c r="L48" s="58" t="n"/>
      <c r="N48" s="108" t="n">
        <v>46357</v>
      </c>
      <c r="O48" s="109">
        <f>TEXT(N48, "dddd")</f>
        <v/>
      </c>
      <c r="P48" s="110">
        <f>IF(U48=0, "", SUMIFS($F$5:$F$1500, $A$5:$A$1500, N48))</f>
        <v/>
      </c>
      <c r="Q48" s="111">
        <f>IF(U48=0, "", SUMIFS($G$5:$G$1500, $A$5:$A$1500, N48))</f>
        <v/>
      </c>
      <c r="R48" s="111">
        <f>IF(U48=0, "", SUMIFS($H$5:$H$1500, $A$5:$A$1500, N48))</f>
        <v/>
      </c>
      <c r="S48" s="111">
        <f>IF(U48=0, "", SUMIFS($I$5:$I$1500, $A$5:$A$1500, N48))</f>
        <v/>
      </c>
      <c r="T48" s="110">
        <f>IF(U48=0, "", SUMIFS($J$5:$J$1500, $A$5:$A$1500, N48))</f>
        <v/>
      </c>
      <c r="U48" s="112">
        <f>COUNTIFS($A$5:$A$1500, N48)</f>
        <v/>
      </c>
      <c r="V48" s="113">
        <f>IF(U48=0, "CHƯA NHẬP", IF(U48&lt;3, "INCOMPLETE (Chưa đủ bữa)", "COMPLETE (Đầy đủ)"))</f>
        <v/>
      </c>
      <c r="W48" s="114">
        <f>IF(P48="", "", P48/'02_NUTRITION_SETUP'!$C$20)</f>
        <v/>
      </c>
      <c r="X48" s="114">
        <f>IF(Q48="", "", Q48/'02_NUTRITION_SETUP'!$C$21)</f>
        <v/>
      </c>
    </row>
    <row r="49" ht="22" customHeight="1">
      <c r="A49" s="57" t="n"/>
      <c r="B49" s="7" t="n"/>
      <c r="C49" s="58" t="n"/>
      <c r="D49" s="58" t="n"/>
      <c r="E49" s="7" t="n"/>
      <c r="F49" s="106">
        <f>IF(OR(C49="", D49=""), "", IFERROR(VLOOKUP(C49, '03_FOOD_DATABASE'!$B$5:$L$60, 6, FALSE)*D49/100, IFERROR(VLOOKUP(C49, '04_RECIPE_DATABASE'!$B$5:$M$20, 8, FALSE)*D49, 0)))</f>
        <v/>
      </c>
      <c r="G49" s="107">
        <f>IF(OR(C49="", D49=""), "", IFERROR(VLOOKUP(C49, '03_FOOD_DATABASE'!$B$5:$L$60, 7, FALSE)*D49/100, IFERROR(VLOOKUP(C49, '04_RECIPE_DATABASE'!$B$5:$M$20, 9, FALSE)*D49, 0)))</f>
        <v/>
      </c>
      <c r="H49" s="107">
        <f>IF(OR(C49="", D49=""), "", IFERROR(VLOOKUP(C49, '03_FOOD_DATABASE'!$B$5:$L$60, 8, FALSE)*D49/100, IFERROR(VLOOKUP(C49, '04_RECIPE_DATABASE'!$B$5:$M$20, 10, FALSE)*D49, 0)))</f>
        <v/>
      </c>
      <c r="I49" s="107">
        <f>IF(OR(C49="", D49=""), "", IFERROR(VLOOKUP(C49, '03_FOOD_DATABASE'!$B$5:$L$60, 9, FALSE)*D49/100, IFERROR(VLOOKUP(C49, '04_RECIPE_DATABASE'!$B$5:$M$20, 11, FALSE)*D49, 0)))</f>
        <v/>
      </c>
      <c r="J49" s="106">
        <f>IF(OR(C49="", D49=""), "", IFERROR(VLOOKUP(C49, '03_FOOD_DATABASE'!$B$5:$L$60, 11, FALSE)*D49/100, IFERROR(VLOOKUP(C49, '04_RECIPE_DATABASE'!$B$5:$M$20, 12, FALSE)*D49, 0)))</f>
        <v/>
      </c>
      <c r="K49" s="7" t="n"/>
      <c r="L49" s="58" t="n"/>
      <c r="N49" s="108" t="n">
        <v>46358</v>
      </c>
      <c r="O49" s="109">
        <f>TEXT(N49, "dddd")</f>
        <v/>
      </c>
      <c r="P49" s="110">
        <f>IF(U49=0, "", SUMIFS($F$5:$F$1500, $A$5:$A$1500, N49))</f>
        <v/>
      </c>
      <c r="Q49" s="111">
        <f>IF(U49=0, "", SUMIFS($G$5:$G$1500, $A$5:$A$1500, N49))</f>
        <v/>
      </c>
      <c r="R49" s="111">
        <f>IF(U49=0, "", SUMIFS($H$5:$H$1500, $A$5:$A$1500, N49))</f>
        <v/>
      </c>
      <c r="S49" s="111">
        <f>IF(U49=0, "", SUMIFS($I$5:$I$1500, $A$5:$A$1500, N49))</f>
        <v/>
      </c>
      <c r="T49" s="110">
        <f>IF(U49=0, "", SUMIFS($J$5:$J$1500, $A$5:$A$1500, N49))</f>
        <v/>
      </c>
      <c r="U49" s="112">
        <f>COUNTIFS($A$5:$A$1500, N49)</f>
        <v/>
      </c>
      <c r="V49" s="113">
        <f>IF(U49=0, "CHƯA NHẬP", IF(U49&lt;3, "INCOMPLETE (Chưa đủ bữa)", "COMPLETE (Đầy đủ)"))</f>
        <v/>
      </c>
      <c r="W49" s="114">
        <f>IF(P49="", "", P49/'02_NUTRITION_SETUP'!$C$20)</f>
        <v/>
      </c>
      <c r="X49" s="114">
        <f>IF(Q49="", "", Q49/'02_NUTRITION_SETUP'!$C$21)</f>
        <v/>
      </c>
    </row>
    <row r="50" ht="22" customHeight="1">
      <c r="A50" s="57" t="n"/>
      <c r="B50" s="7" t="n"/>
      <c r="C50" s="58" t="n"/>
      <c r="D50" s="58" t="n"/>
      <c r="E50" s="7" t="n"/>
      <c r="F50" s="106">
        <f>IF(OR(C50="", D50=""), "", IFERROR(VLOOKUP(C50, '03_FOOD_DATABASE'!$B$5:$L$60, 6, FALSE)*D50/100, IFERROR(VLOOKUP(C50, '04_RECIPE_DATABASE'!$B$5:$M$20, 8, FALSE)*D50, 0)))</f>
        <v/>
      </c>
      <c r="G50" s="107">
        <f>IF(OR(C50="", D50=""), "", IFERROR(VLOOKUP(C50, '03_FOOD_DATABASE'!$B$5:$L$60, 7, FALSE)*D50/100, IFERROR(VLOOKUP(C50, '04_RECIPE_DATABASE'!$B$5:$M$20, 9, FALSE)*D50, 0)))</f>
        <v/>
      </c>
      <c r="H50" s="107">
        <f>IF(OR(C50="", D50=""), "", IFERROR(VLOOKUP(C50, '03_FOOD_DATABASE'!$B$5:$L$60, 8, FALSE)*D50/100, IFERROR(VLOOKUP(C50, '04_RECIPE_DATABASE'!$B$5:$M$20, 10, FALSE)*D50, 0)))</f>
        <v/>
      </c>
      <c r="I50" s="107">
        <f>IF(OR(C50="", D50=""), "", IFERROR(VLOOKUP(C50, '03_FOOD_DATABASE'!$B$5:$L$60, 9, FALSE)*D50/100, IFERROR(VLOOKUP(C50, '04_RECIPE_DATABASE'!$B$5:$M$20, 11, FALSE)*D50, 0)))</f>
        <v/>
      </c>
      <c r="J50" s="106">
        <f>IF(OR(C50="", D50=""), "", IFERROR(VLOOKUP(C50, '03_FOOD_DATABASE'!$B$5:$L$60, 11, FALSE)*D50/100, IFERROR(VLOOKUP(C50, '04_RECIPE_DATABASE'!$B$5:$M$20, 12, FALSE)*D50, 0)))</f>
        <v/>
      </c>
      <c r="K50" s="7" t="n"/>
      <c r="L50" s="58" t="n"/>
      <c r="N50" s="108" t="n">
        <v>46359</v>
      </c>
      <c r="O50" s="109">
        <f>TEXT(N50, "dddd")</f>
        <v/>
      </c>
      <c r="P50" s="110">
        <f>IF(U50=0, "", SUMIFS($F$5:$F$1500, $A$5:$A$1500, N50))</f>
        <v/>
      </c>
      <c r="Q50" s="111">
        <f>IF(U50=0, "", SUMIFS($G$5:$G$1500, $A$5:$A$1500, N50))</f>
        <v/>
      </c>
      <c r="R50" s="111">
        <f>IF(U50=0, "", SUMIFS($H$5:$H$1500, $A$5:$A$1500, N50))</f>
        <v/>
      </c>
      <c r="S50" s="111">
        <f>IF(U50=0, "", SUMIFS($I$5:$I$1500, $A$5:$A$1500, N50))</f>
        <v/>
      </c>
      <c r="T50" s="110">
        <f>IF(U50=0, "", SUMIFS($J$5:$J$1500, $A$5:$A$1500, N50))</f>
        <v/>
      </c>
      <c r="U50" s="112">
        <f>COUNTIFS($A$5:$A$1500, N50)</f>
        <v/>
      </c>
      <c r="V50" s="113">
        <f>IF(U50=0, "CHƯA NHẬP", IF(U50&lt;3, "INCOMPLETE (Chưa đủ bữa)", "COMPLETE (Đầy đủ)"))</f>
        <v/>
      </c>
      <c r="W50" s="114">
        <f>IF(P50="", "", P50/'02_NUTRITION_SETUP'!$C$20)</f>
        <v/>
      </c>
      <c r="X50" s="114">
        <f>IF(Q50="", "", Q50/'02_NUTRITION_SETUP'!$C$21)</f>
        <v/>
      </c>
    </row>
    <row r="51" ht="22" customHeight="1">
      <c r="A51" s="57" t="n"/>
      <c r="B51" s="7" t="n"/>
      <c r="C51" s="58" t="n"/>
      <c r="D51" s="58" t="n"/>
      <c r="E51" s="7" t="n"/>
      <c r="F51" s="106">
        <f>IF(OR(C51="", D51=""), "", IFERROR(VLOOKUP(C51, '03_FOOD_DATABASE'!$B$5:$L$60, 6, FALSE)*D51/100, IFERROR(VLOOKUP(C51, '04_RECIPE_DATABASE'!$B$5:$M$20, 8, FALSE)*D51, 0)))</f>
        <v/>
      </c>
      <c r="G51" s="107">
        <f>IF(OR(C51="", D51=""), "", IFERROR(VLOOKUP(C51, '03_FOOD_DATABASE'!$B$5:$L$60, 7, FALSE)*D51/100, IFERROR(VLOOKUP(C51, '04_RECIPE_DATABASE'!$B$5:$M$20, 9, FALSE)*D51, 0)))</f>
        <v/>
      </c>
      <c r="H51" s="107">
        <f>IF(OR(C51="", D51=""), "", IFERROR(VLOOKUP(C51, '03_FOOD_DATABASE'!$B$5:$L$60, 8, FALSE)*D51/100, IFERROR(VLOOKUP(C51, '04_RECIPE_DATABASE'!$B$5:$M$20, 10, FALSE)*D51, 0)))</f>
        <v/>
      </c>
      <c r="I51" s="107">
        <f>IF(OR(C51="", D51=""), "", IFERROR(VLOOKUP(C51, '03_FOOD_DATABASE'!$B$5:$L$60, 9, FALSE)*D51/100, IFERROR(VLOOKUP(C51, '04_RECIPE_DATABASE'!$B$5:$M$20, 11, FALSE)*D51, 0)))</f>
        <v/>
      </c>
      <c r="J51" s="106">
        <f>IF(OR(C51="", D51=""), "", IFERROR(VLOOKUP(C51, '03_FOOD_DATABASE'!$B$5:$L$60, 11, FALSE)*D51/100, IFERROR(VLOOKUP(C51, '04_RECIPE_DATABASE'!$B$5:$M$20, 12, FALSE)*D51, 0)))</f>
        <v/>
      </c>
      <c r="K51" s="7" t="n"/>
      <c r="L51" s="58" t="n"/>
      <c r="N51" s="108" t="n">
        <v>46360</v>
      </c>
      <c r="O51" s="109">
        <f>TEXT(N51, "dddd")</f>
        <v/>
      </c>
      <c r="P51" s="110">
        <f>IF(U51=0, "", SUMIFS($F$5:$F$1500, $A$5:$A$1500, N51))</f>
        <v/>
      </c>
      <c r="Q51" s="111">
        <f>IF(U51=0, "", SUMIFS($G$5:$G$1500, $A$5:$A$1500, N51))</f>
        <v/>
      </c>
      <c r="R51" s="111">
        <f>IF(U51=0, "", SUMIFS($H$5:$H$1500, $A$5:$A$1500, N51))</f>
        <v/>
      </c>
      <c r="S51" s="111">
        <f>IF(U51=0, "", SUMIFS($I$5:$I$1500, $A$5:$A$1500, N51))</f>
        <v/>
      </c>
      <c r="T51" s="110">
        <f>IF(U51=0, "", SUMIFS($J$5:$J$1500, $A$5:$A$1500, N51))</f>
        <v/>
      </c>
      <c r="U51" s="112">
        <f>COUNTIFS($A$5:$A$1500, N51)</f>
        <v/>
      </c>
      <c r="V51" s="113">
        <f>IF(U51=0, "CHƯA NHẬP", IF(U51&lt;3, "INCOMPLETE (Chưa đủ bữa)", "COMPLETE (Đầy đủ)"))</f>
        <v/>
      </c>
      <c r="W51" s="114">
        <f>IF(P51="", "", P51/'02_NUTRITION_SETUP'!$C$20)</f>
        <v/>
      </c>
      <c r="X51" s="114">
        <f>IF(Q51="", "", Q51/'02_NUTRITION_SETUP'!$C$21)</f>
        <v/>
      </c>
    </row>
    <row r="52" ht="22" customHeight="1">
      <c r="A52" s="57" t="n"/>
      <c r="B52" s="7" t="n"/>
      <c r="C52" s="58" t="n"/>
      <c r="D52" s="58" t="n"/>
      <c r="E52" s="7" t="n"/>
      <c r="F52" s="106">
        <f>IF(OR(C52="", D52=""), "", IFERROR(VLOOKUP(C52, '03_FOOD_DATABASE'!$B$5:$L$60, 6, FALSE)*D52/100, IFERROR(VLOOKUP(C52, '04_RECIPE_DATABASE'!$B$5:$M$20, 8, FALSE)*D52, 0)))</f>
        <v/>
      </c>
      <c r="G52" s="107">
        <f>IF(OR(C52="", D52=""), "", IFERROR(VLOOKUP(C52, '03_FOOD_DATABASE'!$B$5:$L$60, 7, FALSE)*D52/100, IFERROR(VLOOKUP(C52, '04_RECIPE_DATABASE'!$B$5:$M$20, 9, FALSE)*D52, 0)))</f>
        <v/>
      </c>
      <c r="H52" s="107">
        <f>IF(OR(C52="", D52=""), "", IFERROR(VLOOKUP(C52, '03_FOOD_DATABASE'!$B$5:$L$60, 8, FALSE)*D52/100, IFERROR(VLOOKUP(C52, '04_RECIPE_DATABASE'!$B$5:$M$20, 10, FALSE)*D52, 0)))</f>
        <v/>
      </c>
      <c r="I52" s="107">
        <f>IF(OR(C52="", D52=""), "", IFERROR(VLOOKUP(C52, '03_FOOD_DATABASE'!$B$5:$L$60, 9, FALSE)*D52/100, IFERROR(VLOOKUP(C52, '04_RECIPE_DATABASE'!$B$5:$M$20, 11, FALSE)*D52, 0)))</f>
        <v/>
      </c>
      <c r="J52" s="106">
        <f>IF(OR(C52="", D52=""), "", IFERROR(VLOOKUP(C52, '03_FOOD_DATABASE'!$B$5:$L$60, 11, FALSE)*D52/100, IFERROR(VLOOKUP(C52, '04_RECIPE_DATABASE'!$B$5:$M$20, 12, FALSE)*D52, 0)))</f>
        <v/>
      </c>
      <c r="K52" s="7" t="n"/>
      <c r="L52" s="58" t="n"/>
      <c r="N52" s="108" t="n">
        <v>46361</v>
      </c>
      <c r="O52" s="109">
        <f>TEXT(N52, "dddd")</f>
        <v/>
      </c>
      <c r="P52" s="110">
        <f>IF(U52=0, "", SUMIFS($F$5:$F$1500, $A$5:$A$1500, N52))</f>
        <v/>
      </c>
      <c r="Q52" s="111">
        <f>IF(U52=0, "", SUMIFS($G$5:$G$1500, $A$5:$A$1500, N52))</f>
        <v/>
      </c>
      <c r="R52" s="111">
        <f>IF(U52=0, "", SUMIFS($H$5:$H$1500, $A$5:$A$1500, N52))</f>
        <v/>
      </c>
      <c r="S52" s="111">
        <f>IF(U52=0, "", SUMIFS($I$5:$I$1500, $A$5:$A$1500, N52))</f>
        <v/>
      </c>
      <c r="T52" s="110">
        <f>IF(U52=0, "", SUMIFS($J$5:$J$1500, $A$5:$A$1500, N52))</f>
        <v/>
      </c>
      <c r="U52" s="112">
        <f>COUNTIFS($A$5:$A$1500, N52)</f>
        <v/>
      </c>
      <c r="V52" s="113">
        <f>IF(U52=0, "CHƯA NHẬP", IF(U52&lt;3, "INCOMPLETE (Chưa đủ bữa)", "COMPLETE (Đầy đủ)"))</f>
        <v/>
      </c>
      <c r="W52" s="114">
        <f>IF(P52="", "", P52/'02_NUTRITION_SETUP'!$C$20)</f>
        <v/>
      </c>
      <c r="X52" s="114">
        <f>IF(Q52="", "", Q52/'02_NUTRITION_SETUP'!$C$21)</f>
        <v/>
      </c>
    </row>
    <row r="53" ht="22" customHeight="1">
      <c r="A53" s="57" t="n"/>
      <c r="B53" s="7" t="n"/>
      <c r="C53" s="58" t="n"/>
      <c r="D53" s="58" t="n"/>
      <c r="E53" s="7" t="n"/>
      <c r="F53" s="106">
        <f>IF(OR(C53="", D53=""), "", IFERROR(VLOOKUP(C53, '03_FOOD_DATABASE'!$B$5:$L$60, 6, FALSE)*D53/100, IFERROR(VLOOKUP(C53, '04_RECIPE_DATABASE'!$B$5:$M$20, 8, FALSE)*D53, 0)))</f>
        <v/>
      </c>
      <c r="G53" s="107">
        <f>IF(OR(C53="", D53=""), "", IFERROR(VLOOKUP(C53, '03_FOOD_DATABASE'!$B$5:$L$60, 7, FALSE)*D53/100, IFERROR(VLOOKUP(C53, '04_RECIPE_DATABASE'!$B$5:$M$20, 9, FALSE)*D53, 0)))</f>
        <v/>
      </c>
      <c r="H53" s="107">
        <f>IF(OR(C53="", D53=""), "", IFERROR(VLOOKUP(C53, '03_FOOD_DATABASE'!$B$5:$L$60, 8, FALSE)*D53/100, IFERROR(VLOOKUP(C53, '04_RECIPE_DATABASE'!$B$5:$M$20, 10, FALSE)*D53, 0)))</f>
        <v/>
      </c>
      <c r="I53" s="107">
        <f>IF(OR(C53="", D53=""), "", IFERROR(VLOOKUP(C53, '03_FOOD_DATABASE'!$B$5:$L$60, 9, FALSE)*D53/100, IFERROR(VLOOKUP(C53, '04_RECIPE_DATABASE'!$B$5:$M$20, 11, FALSE)*D53, 0)))</f>
        <v/>
      </c>
      <c r="J53" s="106">
        <f>IF(OR(C53="", D53=""), "", IFERROR(VLOOKUP(C53, '03_FOOD_DATABASE'!$B$5:$L$60, 11, FALSE)*D53/100, IFERROR(VLOOKUP(C53, '04_RECIPE_DATABASE'!$B$5:$M$20, 12, FALSE)*D53, 0)))</f>
        <v/>
      </c>
      <c r="K53" s="7" t="n"/>
      <c r="L53" s="58" t="n"/>
      <c r="N53" s="108" t="n">
        <v>46362</v>
      </c>
      <c r="O53" s="109">
        <f>TEXT(N53, "dddd")</f>
        <v/>
      </c>
      <c r="P53" s="110">
        <f>IF(U53=0, "", SUMIFS($F$5:$F$1500, $A$5:$A$1500, N53))</f>
        <v/>
      </c>
      <c r="Q53" s="111">
        <f>IF(U53=0, "", SUMIFS($G$5:$G$1500, $A$5:$A$1500, N53))</f>
        <v/>
      </c>
      <c r="R53" s="111">
        <f>IF(U53=0, "", SUMIFS($H$5:$H$1500, $A$5:$A$1500, N53))</f>
        <v/>
      </c>
      <c r="S53" s="111">
        <f>IF(U53=0, "", SUMIFS($I$5:$I$1500, $A$5:$A$1500, N53))</f>
        <v/>
      </c>
      <c r="T53" s="110">
        <f>IF(U53=0, "", SUMIFS($J$5:$J$1500, $A$5:$A$1500, N53))</f>
        <v/>
      </c>
      <c r="U53" s="112">
        <f>COUNTIFS($A$5:$A$1500, N53)</f>
        <v/>
      </c>
      <c r="V53" s="113">
        <f>IF(U53=0, "CHƯA NHẬP", IF(U53&lt;3, "INCOMPLETE (Chưa đủ bữa)", "COMPLETE (Đầy đủ)"))</f>
        <v/>
      </c>
      <c r="W53" s="114">
        <f>IF(P53="", "", P53/'02_NUTRITION_SETUP'!$C$20)</f>
        <v/>
      </c>
      <c r="X53" s="114">
        <f>IF(Q53="", "", Q53/'02_NUTRITION_SETUP'!$C$21)</f>
        <v/>
      </c>
    </row>
    <row r="54" ht="22" customHeight="1">
      <c r="A54" s="57" t="n"/>
      <c r="B54" s="7" t="n"/>
      <c r="C54" s="58" t="n"/>
      <c r="D54" s="58" t="n"/>
      <c r="E54" s="7" t="n"/>
      <c r="F54" s="106">
        <f>IF(OR(C54="", D54=""), "", IFERROR(VLOOKUP(C54, '03_FOOD_DATABASE'!$B$5:$L$60, 6, FALSE)*D54/100, IFERROR(VLOOKUP(C54, '04_RECIPE_DATABASE'!$B$5:$M$20, 8, FALSE)*D54, 0)))</f>
        <v/>
      </c>
      <c r="G54" s="107">
        <f>IF(OR(C54="", D54=""), "", IFERROR(VLOOKUP(C54, '03_FOOD_DATABASE'!$B$5:$L$60, 7, FALSE)*D54/100, IFERROR(VLOOKUP(C54, '04_RECIPE_DATABASE'!$B$5:$M$20, 9, FALSE)*D54, 0)))</f>
        <v/>
      </c>
      <c r="H54" s="107">
        <f>IF(OR(C54="", D54=""), "", IFERROR(VLOOKUP(C54, '03_FOOD_DATABASE'!$B$5:$L$60, 8, FALSE)*D54/100, IFERROR(VLOOKUP(C54, '04_RECIPE_DATABASE'!$B$5:$M$20, 10, FALSE)*D54, 0)))</f>
        <v/>
      </c>
      <c r="I54" s="107">
        <f>IF(OR(C54="", D54=""), "", IFERROR(VLOOKUP(C54, '03_FOOD_DATABASE'!$B$5:$L$60, 9, FALSE)*D54/100, IFERROR(VLOOKUP(C54, '04_RECIPE_DATABASE'!$B$5:$M$20, 11, FALSE)*D54, 0)))</f>
        <v/>
      </c>
      <c r="J54" s="106">
        <f>IF(OR(C54="", D54=""), "", IFERROR(VLOOKUP(C54, '03_FOOD_DATABASE'!$B$5:$L$60, 11, FALSE)*D54/100, IFERROR(VLOOKUP(C54, '04_RECIPE_DATABASE'!$B$5:$M$20, 12, FALSE)*D54, 0)))</f>
        <v/>
      </c>
      <c r="K54" s="7" t="n"/>
      <c r="L54" s="58" t="n"/>
      <c r="N54" s="108" t="n">
        <v>46363</v>
      </c>
      <c r="O54" s="109">
        <f>TEXT(N54, "dddd")</f>
        <v/>
      </c>
      <c r="P54" s="110">
        <f>IF(U54=0, "", SUMIFS($F$5:$F$1500, $A$5:$A$1500, N54))</f>
        <v/>
      </c>
      <c r="Q54" s="111">
        <f>IF(U54=0, "", SUMIFS($G$5:$G$1500, $A$5:$A$1500, N54))</f>
        <v/>
      </c>
      <c r="R54" s="111">
        <f>IF(U54=0, "", SUMIFS($H$5:$H$1500, $A$5:$A$1500, N54))</f>
        <v/>
      </c>
      <c r="S54" s="111">
        <f>IF(U54=0, "", SUMIFS($I$5:$I$1500, $A$5:$A$1500, N54))</f>
        <v/>
      </c>
      <c r="T54" s="110">
        <f>IF(U54=0, "", SUMIFS($J$5:$J$1500, $A$5:$A$1500, N54))</f>
        <v/>
      </c>
      <c r="U54" s="112">
        <f>COUNTIFS($A$5:$A$1500, N54)</f>
        <v/>
      </c>
      <c r="V54" s="113">
        <f>IF(U54=0, "CHƯA NHẬP", IF(U54&lt;3, "INCOMPLETE (Chưa đủ bữa)", "COMPLETE (Đầy đủ)"))</f>
        <v/>
      </c>
      <c r="W54" s="114">
        <f>IF(P54="", "", P54/'02_NUTRITION_SETUP'!$C$20)</f>
        <v/>
      </c>
      <c r="X54" s="114">
        <f>IF(Q54="", "", Q54/'02_NUTRITION_SETUP'!$C$21)</f>
        <v/>
      </c>
    </row>
    <row r="55" ht="22" customHeight="1">
      <c r="A55" s="57" t="n"/>
      <c r="B55" s="7" t="n"/>
      <c r="C55" s="58" t="n"/>
      <c r="D55" s="58" t="n"/>
      <c r="E55" s="7" t="n"/>
      <c r="F55" s="106">
        <f>IF(OR(C55="", D55=""), "", IFERROR(VLOOKUP(C55, '03_FOOD_DATABASE'!$B$5:$L$60, 6, FALSE)*D55/100, IFERROR(VLOOKUP(C55, '04_RECIPE_DATABASE'!$B$5:$M$20, 8, FALSE)*D55, 0)))</f>
        <v/>
      </c>
      <c r="G55" s="107">
        <f>IF(OR(C55="", D55=""), "", IFERROR(VLOOKUP(C55, '03_FOOD_DATABASE'!$B$5:$L$60, 7, FALSE)*D55/100, IFERROR(VLOOKUP(C55, '04_RECIPE_DATABASE'!$B$5:$M$20, 9, FALSE)*D55, 0)))</f>
        <v/>
      </c>
      <c r="H55" s="107">
        <f>IF(OR(C55="", D55=""), "", IFERROR(VLOOKUP(C55, '03_FOOD_DATABASE'!$B$5:$L$60, 8, FALSE)*D55/100, IFERROR(VLOOKUP(C55, '04_RECIPE_DATABASE'!$B$5:$M$20, 10, FALSE)*D55, 0)))</f>
        <v/>
      </c>
      <c r="I55" s="107">
        <f>IF(OR(C55="", D55=""), "", IFERROR(VLOOKUP(C55, '03_FOOD_DATABASE'!$B$5:$L$60, 9, FALSE)*D55/100, IFERROR(VLOOKUP(C55, '04_RECIPE_DATABASE'!$B$5:$M$20, 11, FALSE)*D55, 0)))</f>
        <v/>
      </c>
      <c r="J55" s="106">
        <f>IF(OR(C55="", D55=""), "", IFERROR(VLOOKUP(C55, '03_FOOD_DATABASE'!$B$5:$L$60, 11, FALSE)*D55/100, IFERROR(VLOOKUP(C55, '04_RECIPE_DATABASE'!$B$5:$M$20, 12, FALSE)*D55, 0)))</f>
        <v/>
      </c>
      <c r="K55" s="7" t="n"/>
      <c r="L55" s="58" t="n"/>
      <c r="N55" s="108" t="n">
        <v>46364</v>
      </c>
      <c r="O55" s="109">
        <f>TEXT(N55, "dddd")</f>
        <v/>
      </c>
      <c r="P55" s="110">
        <f>IF(U55=0, "", SUMIFS($F$5:$F$1500, $A$5:$A$1500, N55))</f>
        <v/>
      </c>
      <c r="Q55" s="111">
        <f>IF(U55=0, "", SUMIFS($G$5:$G$1500, $A$5:$A$1500, N55))</f>
        <v/>
      </c>
      <c r="R55" s="111">
        <f>IF(U55=0, "", SUMIFS($H$5:$H$1500, $A$5:$A$1500, N55))</f>
        <v/>
      </c>
      <c r="S55" s="111">
        <f>IF(U55=0, "", SUMIFS($I$5:$I$1500, $A$5:$A$1500, N55))</f>
        <v/>
      </c>
      <c r="T55" s="110">
        <f>IF(U55=0, "", SUMIFS($J$5:$J$1500, $A$5:$A$1500, N55))</f>
        <v/>
      </c>
      <c r="U55" s="112">
        <f>COUNTIFS($A$5:$A$1500, N55)</f>
        <v/>
      </c>
      <c r="V55" s="113">
        <f>IF(U55=0, "CHƯA NHẬP", IF(U55&lt;3, "INCOMPLETE (Chưa đủ bữa)", "COMPLETE (Đầy đủ)"))</f>
        <v/>
      </c>
      <c r="W55" s="114">
        <f>IF(P55="", "", P55/'02_NUTRITION_SETUP'!$C$20)</f>
        <v/>
      </c>
      <c r="X55" s="114">
        <f>IF(Q55="", "", Q55/'02_NUTRITION_SETUP'!$C$21)</f>
        <v/>
      </c>
    </row>
    <row r="56" ht="22" customHeight="1">
      <c r="A56" s="57" t="n"/>
      <c r="B56" s="7" t="n"/>
      <c r="C56" s="58" t="n"/>
      <c r="D56" s="58" t="n"/>
      <c r="E56" s="7" t="n"/>
      <c r="F56" s="106">
        <f>IF(OR(C56="", D56=""), "", IFERROR(VLOOKUP(C56, '03_FOOD_DATABASE'!$B$5:$L$60, 6, FALSE)*D56/100, IFERROR(VLOOKUP(C56, '04_RECIPE_DATABASE'!$B$5:$M$20, 8, FALSE)*D56, 0)))</f>
        <v/>
      </c>
      <c r="G56" s="107">
        <f>IF(OR(C56="", D56=""), "", IFERROR(VLOOKUP(C56, '03_FOOD_DATABASE'!$B$5:$L$60, 7, FALSE)*D56/100, IFERROR(VLOOKUP(C56, '04_RECIPE_DATABASE'!$B$5:$M$20, 9, FALSE)*D56, 0)))</f>
        <v/>
      </c>
      <c r="H56" s="107">
        <f>IF(OR(C56="", D56=""), "", IFERROR(VLOOKUP(C56, '03_FOOD_DATABASE'!$B$5:$L$60, 8, FALSE)*D56/100, IFERROR(VLOOKUP(C56, '04_RECIPE_DATABASE'!$B$5:$M$20, 10, FALSE)*D56, 0)))</f>
        <v/>
      </c>
      <c r="I56" s="107">
        <f>IF(OR(C56="", D56=""), "", IFERROR(VLOOKUP(C56, '03_FOOD_DATABASE'!$B$5:$L$60, 9, FALSE)*D56/100, IFERROR(VLOOKUP(C56, '04_RECIPE_DATABASE'!$B$5:$M$20, 11, FALSE)*D56, 0)))</f>
        <v/>
      </c>
      <c r="J56" s="106">
        <f>IF(OR(C56="", D56=""), "", IFERROR(VLOOKUP(C56, '03_FOOD_DATABASE'!$B$5:$L$60, 11, FALSE)*D56/100, IFERROR(VLOOKUP(C56, '04_RECIPE_DATABASE'!$B$5:$M$20, 12, FALSE)*D56, 0)))</f>
        <v/>
      </c>
      <c r="K56" s="7" t="n"/>
      <c r="L56" s="58" t="n"/>
      <c r="N56" s="108" t="n">
        <v>46365</v>
      </c>
      <c r="O56" s="109">
        <f>TEXT(N56, "dddd")</f>
        <v/>
      </c>
      <c r="P56" s="110">
        <f>IF(U56=0, "", SUMIFS($F$5:$F$1500, $A$5:$A$1500, N56))</f>
        <v/>
      </c>
      <c r="Q56" s="111">
        <f>IF(U56=0, "", SUMIFS($G$5:$G$1500, $A$5:$A$1500, N56))</f>
        <v/>
      </c>
      <c r="R56" s="111">
        <f>IF(U56=0, "", SUMIFS($H$5:$H$1500, $A$5:$A$1500, N56))</f>
        <v/>
      </c>
      <c r="S56" s="111">
        <f>IF(U56=0, "", SUMIFS($I$5:$I$1500, $A$5:$A$1500, N56))</f>
        <v/>
      </c>
      <c r="T56" s="110">
        <f>IF(U56=0, "", SUMIFS($J$5:$J$1500, $A$5:$A$1500, N56))</f>
        <v/>
      </c>
      <c r="U56" s="112">
        <f>COUNTIFS($A$5:$A$1500, N56)</f>
        <v/>
      </c>
      <c r="V56" s="113">
        <f>IF(U56=0, "CHƯA NHẬP", IF(U56&lt;3, "INCOMPLETE (Chưa đủ bữa)", "COMPLETE (Đầy đủ)"))</f>
        <v/>
      </c>
      <c r="W56" s="114">
        <f>IF(P56="", "", P56/'02_NUTRITION_SETUP'!$C$20)</f>
        <v/>
      </c>
      <c r="X56" s="114">
        <f>IF(Q56="", "", Q56/'02_NUTRITION_SETUP'!$C$21)</f>
        <v/>
      </c>
    </row>
    <row r="57" ht="22" customHeight="1">
      <c r="A57" s="57" t="n"/>
      <c r="B57" s="7" t="n"/>
      <c r="C57" s="58" t="n"/>
      <c r="D57" s="58" t="n"/>
      <c r="E57" s="7" t="n"/>
      <c r="F57" s="106">
        <f>IF(OR(C57="", D57=""), "", IFERROR(VLOOKUP(C57, '03_FOOD_DATABASE'!$B$5:$L$60, 6, FALSE)*D57/100, IFERROR(VLOOKUP(C57, '04_RECIPE_DATABASE'!$B$5:$M$20, 8, FALSE)*D57, 0)))</f>
        <v/>
      </c>
      <c r="G57" s="107">
        <f>IF(OR(C57="", D57=""), "", IFERROR(VLOOKUP(C57, '03_FOOD_DATABASE'!$B$5:$L$60, 7, FALSE)*D57/100, IFERROR(VLOOKUP(C57, '04_RECIPE_DATABASE'!$B$5:$M$20, 9, FALSE)*D57, 0)))</f>
        <v/>
      </c>
      <c r="H57" s="107">
        <f>IF(OR(C57="", D57=""), "", IFERROR(VLOOKUP(C57, '03_FOOD_DATABASE'!$B$5:$L$60, 8, FALSE)*D57/100, IFERROR(VLOOKUP(C57, '04_RECIPE_DATABASE'!$B$5:$M$20, 10, FALSE)*D57, 0)))</f>
        <v/>
      </c>
      <c r="I57" s="107">
        <f>IF(OR(C57="", D57=""), "", IFERROR(VLOOKUP(C57, '03_FOOD_DATABASE'!$B$5:$L$60, 9, FALSE)*D57/100, IFERROR(VLOOKUP(C57, '04_RECIPE_DATABASE'!$B$5:$M$20, 11, FALSE)*D57, 0)))</f>
        <v/>
      </c>
      <c r="J57" s="106">
        <f>IF(OR(C57="", D57=""), "", IFERROR(VLOOKUP(C57, '03_FOOD_DATABASE'!$B$5:$L$60, 11, FALSE)*D57/100, IFERROR(VLOOKUP(C57, '04_RECIPE_DATABASE'!$B$5:$M$20, 12, FALSE)*D57, 0)))</f>
        <v/>
      </c>
      <c r="K57" s="7" t="n"/>
      <c r="L57" s="58" t="n"/>
      <c r="N57" s="108" t="n">
        <v>46366</v>
      </c>
      <c r="O57" s="109">
        <f>TEXT(N57, "dddd")</f>
        <v/>
      </c>
      <c r="P57" s="110">
        <f>IF(U57=0, "", SUMIFS($F$5:$F$1500, $A$5:$A$1500, N57))</f>
        <v/>
      </c>
      <c r="Q57" s="111">
        <f>IF(U57=0, "", SUMIFS($G$5:$G$1500, $A$5:$A$1500, N57))</f>
        <v/>
      </c>
      <c r="R57" s="111">
        <f>IF(U57=0, "", SUMIFS($H$5:$H$1500, $A$5:$A$1500, N57))</f>
        <v/>
      </c>
      <c r="S57" s="111">
        <f>IF(U57=0, "", SUMIFS($I$5:$I$1500, $A$5:$A$1500, N57))</f>
        <v/>
      </c>
      <c r="T57" s="110">
        <f>IF(U57=0, "", SUMIFS($J$5:$J$1500, $A$5:$A$1500, N57))</f>
        <v/>
      </c>
      <c r="U57" s="112">
        <f>COUNTIFS($A$5:$A$1500, N57)</f>
        <v/>
      </c>
      <c r="V57" s="113">
        <f>IF(U57=0, "CHƯA NHẬP", IF(U57&lt;3, "INCOMPLETE (Chưa đủ bữa)", "COMPLETE (Đầy đủ)"))</f>
        <v/>
      </c>
      <c r="W57" s="114">
        <f>IF(P57="", "", P57/'02_NUTRITION_SETUP'!$C$20)</f>
        <v/>
      </c>
      <c r="X57" s="114">
        <f>IF(Q57="", "", Q57/'02_NUTRITION_SETUP'!$C$21)</f>
        <v/>
      </c>
    </row>
    <row r="58" ht="22" customHeight="1">
      <c r="A58" s="57" t="n"/>
      <c r="B58" s="7" t="n"/>
      <c r="C58" s="58" t="n"/>
      <c r="D58" s="58" t="n"/>
      <c r="E58" s="7" t="n"/>
      <c r="F58" s="106">
        <f>IF(OR(C58="", D58=""), "", IFERROR(VLOOKUP(C58, '03_FOOD_DATABASE'!$B$5:$L$60, 6, FALSE)*D58/100, IFERROR(VLOOKUP(C58, '04_RECIPE_DATABASE'!$B$5:$M$20, 8, FALSE)*D58, 0)))</f>
        <v/>
      </c>
      <c r="G58" s="107">
        <f>IF(OR(C58="", D58=""), "", IFERROR(VLOOKUP(C58, '03_FOOD_DATABASE'!$B$5:$L$60, 7, FALSE)*D58/100, IFERROR(VLOOKUP(C58, '04_RECIPE_DATABASE'!$B$5:$M$20, 9, FALSE)*D58, 0)))</f>
        <v/>
      </c>
      <c r="H58" s="107">
        <f>IF(OR(C58="", D58=""), "", IFERROR(VLOOKUP(C58, '03_FOOD_DATABASE'!$B$5:$L$60, 8, FALSE)*D58/100, IFERROR(VLOOKUP(C58, '04_RECIPE_DATABASE'!$B$5:$M$20, 10, FALSE)*D58, 0)))</f>
        <v/>
      </c>
      <c r="I58" s="107">
        <f>IF(OR(C58="", D58=""), "", IFERROR(VLOOKUP(C58, '03_FOOD_DATABASE'!$B$5:$L$60, 9, FALSE)*D58/100, IFERROR(VLOOKUP(C58, '04_RECIPE_DATABASE'!$B$5:$M$20, 11, FALSE)*D58, 0)))</f>
        <v/>
      </c>
      <c r="J58" s="106">
        <f>IF(OR(C58="", D58=""), "", IFERROR(VLOOKUP(C58, '03_FOOD_DATABASE'!$B$5:$L$60, 11, FALSE)*D58/100, IFERROR(VLOOKUP(C58, '04_RECIPE_DATABASE'!$B$5:$M$20, 12, FALSE)*D58, 0)))</f>
        <v/>
      </c>
      <c r="K58" s="7" t="n"/>
      <c r="L58" s="58" t="n"/>
      <c r="N58" s="108" t="n">
        <v>46367</v>
      </c>
      <c r="O58" s="109">
        <f>TEXT(N58, "dddd")</f>
        <v/>
      </c>
      <c r="P58" s="110">
        <f>IF(U58=0, "", SUMIFS($F$5:$F$1500, $A$5:$A$1500, N58))</f>
        <v/>
      </c>
      <c r="Q58" s="111">
        <f>IF(U58=0, "", SUMIFS($G$5:$G$1500, $A$5:$A$1500, N58))</f>
        <v/>
      </c>
      <c r="R58" s="111">
        <f>IF(U58=0, "", SUMIFS($H$5:$H$1500, $A$5:$A$1500, N58))</f>
        <v/>
      </c>
      <c r="S58" s="111">
        <f>IF(U58=0, "", SUMIFS($I$5:$I$1500, $A$5:$A$1500, N58))</f>
        <v/>
      </c>
      <c r="T58" s="110">
        <f>IF(U58=0, "", SUMIFS($J$5:$J$1500, $A$5:$A$1500, N58))</f>
        <v/>
      </c>
      <c r="U58" s="112">
        <f>COUNTIFS($A$5:$A$1500, N58)</f>
        <v/>
      </c>
      <c r="V58" s="113">
        <f>IF(U58=0, "CHƯA NHẬP", IF(U58&lt;3, "INCOMPLETE (Chưa đủ bữa)", "COMPLETE (Đầy đủ)"))</f>
        <v/>
      </c>
      <c r="W58" s="114">
        <f>IF(P58="", "", P58/'02_NUTRITION_SETUP'!$C$20)</f>
        <v/>
      </c>
      <c r="X58" s="114">
        <f>IF(Q58="", "", Q58/'02_NUTRITION_SETUP'!$C$21)</f>
        <v/>
      </c>
    </row>
    <row r="59" ht="22" customHeight="1">
      <c r="A59" s="57" t="n"/>
      <c r="B59" s="7" t="n"/>
      <c r="C59" s="58" t="n"/>
      <c r="D59" s="58" t="n"/>
      <c r="E59" s="7" t="n"/>
      <c r="F59" s="106">
        <f>IF(OR(C59="", D59=""), "", IFERROR(VLOOKUP(C59, '03_FOOD_DATABASE'!$B$5:$L$60, 6, FALSE)*D59/100, IFERROR(VLOOKUP(C59, '04_RECIPE_DATABASE'!$B$5:$M$20, 8, FALSE)*D59, 0)))</f>
        <v/>
      </c>
      <c r="G59" s="107">
        <f>IF(OR(C59="", D59=""), "", IFERROR(VLOOKUP(C59, '03_FOOD_DATABASE'!$B$5:$L$60, 7, FALSE)*D59/100, IFERROR(VLOOKUP(C59, '04_RECIPE_DATABASE'!$B$5:$M$20, 9, FALSE)*D59, 0)))</f>
        <v/>
      </c>
      <c r="H59" s="107">
        <f>IF(OR(C59="", D59=""), "", IFERROR(VLOOKUP(C59, '03_FOOD_DATABASE'!$B$5:$L$60, 8, FALSE)*D59/100, IFERROR(VLOOKUP(C59, '04_RECIPE_DATABASE'!$B$5:$M$20, 10, FALSE)*D59, 0)))</f>
        <v/>
      </c>
      <c r="I59" s="107">
        <f>IF(OR(C59="", D59=""), "", IFERROR(VLOOKUP(C59, '03_FOOD_DATABASE'!$B$5:$L$60, 9, FALSE)*D59/100, IFERROR(VLOOKUP(C59, '04_RECIPE_DATABASE'!$B$5:$M$20, 11, FALSE)*D59, 0)))</f>
        <v/>
      </c>
      <c r="J59" s="106">
        <f>IF(OR(C59="", D59=""), "", IFERROR(VLOOKUP(C59, '03_FOOD_DATABASE'!$B$5:$L$60, 11, FALSE)*D59/100, IFERROR(VLOOKUP(C59, '04_RECIPE_DATABASE'!$B$5:$M$20, 12, FALSE)*D59, 0)))</f>
        <v/>
      </c>
      <c r="K59" s="7" t="n"/>
      <c r="L59" s="58" t="n"/>
      <c r="N59" s="108" t="n">
        <v>46368</v>
      </c>
      <c r="O59" s="109">
        <f>TEXT(N59, "dddd")</f>
        <v/>
      </c>
      <c r="P59" s="110">
        <f>IF(U59=0, "", SUMIFS($F$5:$F$1500, $A$5:$A$1500, N59))</f>
        <v/>
      </c>
      <c r="Q59" s="111">
        <f>IF(U59=0, "", SUMIFS($G$5:$G$1500, $A$5:$A$1500, N59))</f>
        <v/>
      </c>
      <c r="R59" s="111">
        <f>IF(U59=0, "", SUMIFS($H$5:$H$1500, $A$5:$A$1500, N59))</f>
        <v/>
      </c>
      <c r="S59" s="111">
        <f>IF(U59=0, "", SUMIFS($I$5:$I$1500, $A$5:$A$1500, N59))</f>
        <v/>
      </c>
      <c r="T59" s="110">
        <f>IF(U59=0, "", SUMIFS($J$5:$J$1500, $A$5:$A$1500, N59))</f>
        <v/>
      </c>
      <c r="U59" s="112">
        <f>COUNTIFS($A$5:$A$1500, N59)</f>
        <v/>
      </c>
      <c r="V59" s="113">
        <f>IF(U59=0, "CHƯA NHẬP", IF(U59&lt;3, "INCOMPLETE (Chưa đủ bữa)", "COMPLETE (Đầy đủ)"))</f>
        <v/>
      </c>
      <c r="W59" s="114">
        <f>IF(P59="", "", P59/'02_NUTRITION_SETUP'!$C$20)</f>
        <v/>
      </c>
      <c r="X59" s="114">
        <f>IF(Q59="", "", Q59/'02_NUTRITION_SETUP'!$C$21)</f>
        <v/>
      </c>
    </row>
    <row r="60" ht="22" customHeight="1">
      <c r="A60" s="57" t="n"/>
      <c r="B60" s="7" t="n"/>
      <c r="C60" s="58" t="n"/>
      <c r="D60" s="58" t="n"/>
      <c r="E60" s="7" t="n"/>
      <c r="F60" s="106">
        <f>IF(OR(C60="", D60=""), "", IFERROR(VLOOKUP(C60, '03_FOOD_DATABASE'!$B$5:$L$60, 6, FALSE)*D60/100, IFERROR(VLOOKUP(C60, '04_RECIPE_DATABASE'!$B$5:$M$20, 8, FALSE)*D60, 0)))</f>
        <v/>
      </c>
      <c r="G60" s="107">
        <f>IF(OR(C60="", D60=""), "", IFERROR(VLOOKUP(C60, '03_FOOD_DATABASE'!$B$5:$L$60, 7, FALSE)*D60/100, IFERROR(VLOOKUP(C60, '04_RECIPE_DATABASE'!$B$5:$M$20, 9, FALSE)*D60, 0)))</f>
        <v/>
      </c>
      <c r="H60" s="107">
        <f>IF(OR(C60="", D60=""), "", IFERROR(VLOOKUP(C60, '03_FOOD_DATABASE'!$B$5:$L$60, 8, FALSE)*D60/100, IFERROR(VLOOKUP(C60, '04_RECIPE_DATABASE'!$B$5:$M$20, 10, FALSE)*D60, 0)))</f>
        <v/>
      </c>
      <c r="I60" s="107">
        <f>IF(OR(C60="", D60=""), "", IFERROR(VLOOKUP(C60, '03_FOOD_DATABASE'!$B$5:$L$60, 9, FALSE)*D60/100, IFERROR(VLOOKUP(C60, '04_RECIPE_DATABASE'!$B$5:$M$20, 11, FALSE)*D60, 0)))</f>
        <v/>
      </c>
      <c r="J60" s="106">
        <f>IF(OR(C60="", D60=""), "", IFERROR(VLOOKUP(C60, '03_FOOD_DATABASE'!$B$5:$L$60, 11, FALSE)*D60/100, IFERROR(VLOOKUP(C60, '04_RECIPE_DATABASE'!$B$5:$M$20, 12, FALSE)*D60, 0)))</f>
        <v/>
      </c>
      <c r="K60" s="7" t="n"/>
      <c r="L60" s="58" t="n"/>
      <c r="N60" s="108" t="n">
        <v>46369</v>
      </c>
      <c r="O60" s="109">
        <f>TEXT(N60, "dddd")</f>
        <v/>
      </c>
      <c r="P60" s="110">
        <f>IF(U60=0, "", SUMIFS($F$5:$F$1500, $A$5:$A$1500, N60))</f>
        <v/>
      </c>
      <c r="Q60" s="111">
        <f>IF(U60=0, "", SUMIFS($G$5:$G$1500, $A$5:$A$1500, N60))</f>
        <v/>
      </c>
      <c r="R60" s="111">
        <f>IF(U60=0, "", SUMIFS($H$5:$H$1500, $A$5:$A$1500, N60))</f>
        <v/>
      </c>
      <c r="S60" s="111">
        <f>IF(U60=0, "", SUMIFS($I$5:$I$1500, $A$5:$A$1500, N60))</f>
        <v/>
      </c>
      <c r="T60" s="110">
        <f>IF(U60=0, "", SUMIFS($J$5:$J$1500, $A$5:$A$1500, N60))</f>
        <v/>
      </c>
      <c r="U60" s="112">
        <f>COUNTIFS($A$5:$A$1500, N60)</f>
        <v/>
      </c>
      <c r="V60" s="113">
        <f>IF(U60=0, "CHƯA NHẬP", IF(U60&lt;3, "INCOMPLETE (Chưa đủ bữa)", "COMPLETE (Đầy đủ)"))</f>
        <v/>
      </c>
      <c r="W60" s="114">
        <f>IF(P60="", "", P60/'02_NUTRITION_SETUP'!$C$20)</f>
        <v/>
      </c>
      <c r="X60" s="114">
        <f>IF(Q60="", "", Q60/'02_NUTRITION_SETUP'!$C$21)</f>
        <v/>
      </c>
    </row>
    <row r="61" ht="22" customHeight="1">
      <c r="A61" s="57" t="n"/>
      <c r="B61" s="7" t="n"/>
      <c r="C61" s="58" t="n"/>
      <c r="D61" s="58" t="n"/>
      <c r="E61" s="7" t="n"/>
      <c r="F61" s="106">
        <f>IF(OR(C61="", D61=""), "", IFERROR(VLOOKUP(C61, '03_FOOD_DATABASE'!$B$5:$L$60, 6, FALSE)*D61/100, IFERROR(VLOOKUP(C61, '04_RECIPE_DATABASE'!$B$5:$M$20, 8, FALSE)*D61, 0)))</f>
        <v/>
      </c>
      <c r="G61" s="107">
        <f>IF(OR(C61="", D61=""), "", IFERROR(VLOOKUP(C61, '03_FOOD_DATABASE'!$B$5:$L$60, 7, FALSE)*D61/100, IFERROR(VLOOKUP(C61, '04_RECIPE_DATABASE'!$B$5:$M$20, 9, FALSE)*D61, 0)))</f>
        <v/>
      </c>
      <c r="H61" s="107">
        <f>IF(OR(C61="", D61=""), "", IFERROR(VLOOKUP(C61, '03_FOOD_DATABASE'!$B$5:$L$60, 8, FALSE)*D61/100, IFERROR(VLOOKUP(C61, '04_RECIPE_DATABASE'!$B$5:$M$20, 10, FALSE)*D61, 0)))</f>
        <v/>
      </c>
      <c r="I61" s="107">
        <f>IF(OR(C61="", D61=""), "", IFERROR(VLOOKUP(C61, '03_FOOD_DATABASE'!$B$5:$L$60, 9, FALSE)*D61/100, IFERROR(VLOOKUP(C61, '04_RECIPE_DATABASE'!$B$5:$M$20, 11, FALSE)*D61, 0)))</f>
        <v/>
      </c>
      <c r="J61" s="106">
        <f>IF(OR(C61="", D61=""), "", IFERROR(VLOOKUP(C61, '03_FOOD_DATABASE'!$B$5:$L$60, 11, FALSE)*D61/100, IFERROR(VLOOKUP(C61, '04_RECIPE_DATABASE'!$B$5:$M$20, 12, FALSE)*D61, 0)))</f>
        <v/>
      </c>
      <c r="K61" s="7" t="n"/>
      <c r="L61" s="58" t="n"/>
      <c r="N61" s="108" t="n">
        <v>46370</v>
      </c>
      <c r="O61" s="109">
        <f>TEXT(N61, "dddd")</f>
        <v/>
      </c>
      <c r="P61" s="110">
        <f>IF(U61=0, "", SUMIFS($F$5:$F$1500, $A$5:$A$1500, N61))</f>
        <v/>
      </c>
      <c r="Q61" s="111">
        <f>IF(U61=0, "", SUMIFS($G$5:$G$1500, $A$5:$A$1500, N61))</f>
        <v/>
      </c>
      <c r="R61" s="111">
        <f>IF(U61=0, "", SUMIFS($H$5:$H$1500, $A$5:$A$1500, N61))</f>
        <v/>
      </c>
      <c r="S61" s="111">
        <f>IF(U61=0, "", SUMIFS($I$5:$I$1500, $A$5:$A$1500, N61))</f>
        <v/>
      </c>
      <c r="T61" s="110">
        <f>IF(U61=0, "", SUMIFS($J$5:$J$1500, $A$5:$A$1500, N61))</f>
        <v/>
      </c>
      <c r="U61" s="112">
        <f>COUNTIFS($A$5:$A$1500, N61)</f>
        <v/>
      </c>
      <c r="V61" s="113">
        <f>IF(U61=0, "CHƯA NHẬP", IF(U61&lt;3, "INCOMPLETE (Chưa đủ bữa)", "COMPLETE (Đầy đủ)"))</f>
        <v/>
      </c>
      <c r="W61" s="114">
        <f>IF(P61="", "", P61/'02_NUTRITION_SETUP'!$C$20)</f>
        <v/>
      </c>
      <c r="X61" s="114">
        <f>IF(Q61="", "", Q61/'02_NUTRITION_SETUP'!$C$21)</f>
        <v/>
      </c>
    </row>
    <row r="62" ht="22" customHeight="1">
      <c r="A62" s="57" t="n"/>
      <c r="B62" s="7" t="n"/>
      <c r="C62" s="58" t="n"/>
      <c r="D62" s="58" t="n"/>
      <c r="E62" s="7" t="n"/>
      <c r="F62" s="106">
        <f>IF(OR(C62="", D62=""), "", IFERROR(VLOOKUP(C62, '03_FOOD_DATABASE'!$B$5:$L$60, 6, FALSE)*D62/100, IFERROR(VLOOKUP(C62, '04_RECIPE_DATABASE'!$B$5:$M$20, 8, FALSE)*D62, 0)))</f>
        <v/>
      </c>
      <c r="G62" s="107">
        <f>IF(OR(C62="", D62=""), "", IFERROR(VLOOKUP(C62, '03_FOOD_DATABASE'!$B$5:$L$60, 7, FALSE)*D62/100, IFERROR(VLOOKUP(C62, '04_RECIPE_DATABASE'!$B$5:$M$20, 9, FALSE)*D62, 0)))</f>
        <v/>
      </c>
      <c r="H62" s="107">
        <f>IF(OR(C62="", D62=""), "", IFERROR(VLOOKUP(C62, '03_FOOD_DATABASE'!$B$5:$L$60, 8, FALSE)*D62/100, IFERROR(VLOOKUP(C62, '04_RECIPE_DATABASE'!$B$5:$M$20, 10, FALSE)*D62, 0)))</f>
        <v/>
      </c>
      <c r="I62" s="107">
        <f>IF(OR(C62="", D62=""), "", IFERROR(VLOOKUP(C62, '03_FOOD_DATABASE'!$B$5:$L$60, 9, FALSE)*D62/100, IFERROR(VLOOKUP(C62, '04_RECIPE_DATABASE'!$B$5:$M$20, 11, FALSE)*D62, 0)))</f>
        <v/>
      </c>
      <c r="J62" s="106">
        <f>IF(OR(C62="", D62=""), "", IFERROR(VLOOKUP(C62, '03_FOOD_DATABASE'!$B$5:$L$60, 11, FALSE)*D62/100, IFERROR(VLOOKUP(C62, '04_RECIPE_DATABASE'!$B$5:$M$20, 12, FALSE)*D62, 0)))</f>
        <v/>
      </c>
      <c r="K62" s="7" t="n"/>
      <c r="L62" s="58" t="n"/>
      <c r="N62" s="108" t="n">
        <v>46371</v>
      </c>
      <c r="O62" s="109">
        <f>TEXT(N62, "dddd")</f>
        <v/>
      </c>
      <c r="P62" s="110">
        <f>IF(U62=0, "", SUMIFS($F$5:$F$1500, $A$5:$A$1500, N62))</f>
        <v/>
      </c>
      <c r="Q62" s="111">
        <f>IF(U62=0, "", SUMIFS($G$5:$G$1500, $A$5:$A$1500, N62))</f>
        <v/>
      </c>
      <c r="R62" s="111">
        <f>IF(U62=0, "", SUMIFS($H$5:$H$1500, $A$5:$A$1500, N62))</f>
        <v/>
      </c>
      <c r="S62" s="111">
        <f>IF(U62=0, "", SUMIFS($I$5:$I$1500, $A$5:$A$1500, N62))</f>
        <v/>
      </c>
      <c r="T62" s="110">
        <f>IF(U62=0, "", SUMIFS($J$5:$J$1500, $A$5:$A$1500, N62))</f>
        <v/>
      </c>
      <c r="U62" s="112">
        <f>COUNTIFS($A$5:$A$1500, N62)</f>
        <v/>
      </c>
      <c r="V62" s="113">
        <f>IF(U62=0, "CHƯA NHẬP", IF(U62&lt;3, "INCOMPLETE (Chưa đủ bữa)", "COMPLETE (Đầy đủ)"))</f>
        <v/>
      </c>
      <c r="W62" s="114">
        <f>IF(P62="", "", P62/'02_NUTRITION_SETUP'!$C$20)</f>
        <v/>
      </c>
      <c r="X62" s="114">
        <f>IF(Q62="", "", Q62/'02_NUTRITION_SETUP'!$C$21)</f>
        <v/>
      </c>
    </row>
    <row r="63" ht="22" customHeight="1">
      <c r="A63" s="57" t="n"/>
      <c r="B63" s="7" t="n"/>
      <c r="C63" s="58" t="n"/>
      <c r="D63" s="58" t="n"/>
      <c r="E63" s="7" t="n"/>
      <c r="F63" s="106">
        <f>IF(OR(C63="", D63=""), "", IFERROR(VLOOKUP(C63, '03_FOOD_DATABASE'!$B$5:$L$60, 6, FALSE)*D63/100, IFERROR(VLOOKUP(C63, '04_RECIPE_DATABASE'!$B$5:$M$20, 8, FALSE)*D63, 0)))</f>
        <v/>
      </c>
      <c r="G63" s="107">
        <f>IF(OR(C63="", D63=""), "", IFERROR(VLOOKUP(C63, '03_FOOD_DATABASE'!$B$5:$L$60, 7, FALSE)*D63/100, IFERROR(VLOOKUP(C63, '04_RECIPE_DATABASE'!$B$5:$M$20, 9, FALSE)*D63, 0)))</f>
        <v/>
      </c>
      <c r="H63" s="107">
        <f>IF(OR(C63="", D63=""), "", IFERROR(VLOOKUP(C63, '03_FOOD_DATABASE'!$B$5:$L$60, 8, FALSE)*D63/100, IFERROR(VLOOKUP(C63, '04_RECIPE_DATABASE'!$B$5:$M$20, 10, FALSE)*D63, 0)))</f>
        <v/>
      </c>
      <c r="I63" s="107">
        <f>IF(OR(C63="", D63=""), "", IFERROR(VLOOKUP(C63, '03_FOOD_DATABASE'!$B$5:$L$60, 9, FALSE)*D63/100, IFERROR(VLOOKUP(C63, '04_RECIPE_DATABASE'!$B$5:$M$20, 11, FALSE)*D63, 0)))</f>
        <v/>
      </c>
      <c r="J63" s="106">
        <f>IF(OR(C63="", D63=""), "", IFERROR(VLOOKUP(C63, '03_FOOD_DATABASE'!$B$5:$L$60, 11, FALSE)*D63/100, IFERROR(VLOOKUP(C63, '04_RECIPE_DATABASE'!$B$5:$M$20, 12, FALSE)*D63, 0)))</f>
        <v/>
      </c>
      <c r="K63" s="7" t="n"/>
      <c r="L63" s="58" t="n"/>
      <c r="N63" s="108" t="n">
        <v>46372</v>
      </c>
      <c r="O63" s="109">
        <f>TEXT(N63, "dddd")</f>
        <v/>
      </c>
      <c r="P63" s="110">
        <f>IF(U63=0, "", SUMIFS($F$5:$F$1500, $A$5:$A$1500, N63))</f>
        <v/>
      </c>
      <c r="Q63" s="111">
        <f>IF(U63=0, "", SUMIFS($G$5:$G$1500, $A$5:$A$1500, N63))</f>
        <v/>
      </c>
      <c r="R63" s="111">
        <f>IF(U63=0, "", SUMIFS($H$5:$H$1500, $A$5:$A$1500, N63))</f>
        <v/>
      </c>
      <c r="S63" s="111">
        <f>IF(U63=0, "", SUMIFS($I$5:$I$1500, $A$5:$A$1500, N63))</f>
        <v/>
      </c>
      <c r="T63" s="110">
        <f>IF(U63=0, "", SUMIFS($J$5:$J$1500, $A$5:$A$1500, N63))</f>
        <v/>
      </c>
      <c r="U63" s="112">
        <f>COUNTIFS($A$5:$A$1500, N63)</f>
        <v/>
      </c>
      <c r="V63" s="113">
        <f>IF(U63=0, "CHƯA NHẬP", IF(U63&lt;3, "INCOMPLETE (Chưa đủ bữa)", "COMPLETE (Đầy đủ)"))</f>
        <v/>
      </c>
      <c r="W63" s="114">
        <f>IF(P63="", "", P63/'02_NUTRITION_SETUP'!$C$20)</f>
        <v/>
      </c>
      <c r="X63" s="114">
        <f>IF(Q63="", "", Q63/'02_NUTRITION_SETUP'!$C$21)</f>
        <v/>
      </c>
    </row>
    <row r="64" ht="22" customHeight="1">
      <c r="A64" s="57" t="n"/>
      <c r="B64" s="7" t="n"/>
      <c r="C64" s="58" t="n"/>
      <c r="D64" s="58" t="n"/>
      <c r="E64" s="7" t="n"/>
      <c r="F64" s="106">
        <f>IF(OR(C64="", D64=""), "", IFERROR(VLOOKUP(C64, '03_FOOD_DATABASE'!$B$5:$L$60, 6, FALSE)*D64/100, IFERROR(VLOOKUP(C64, '04_RECIPE_DATABASE'!$B$5:$M$20, 8, FALSE)*D64, 0)))</f>
        <v/>
      </c>
      <c r="G64" s="107">
        <f>IF(OR(C64="", D64=""), "", IFERROR(VLOOKUP(C64, '03_FOOD_DATABASE'!$B$5:$L$60, 7, FALSE)*D64/100, IFERROR(VLOOKUP(C64, '04_RECIPE_DATABASE'!$B$5:$M$20, 9, FALSE)*D64, 0)))</f>
        <v/>
      </c>
      <c r="H64" s="107">
        <f>IF(OR(C64="", D64=""), "", IFERROR(VLOOKUP(C64, '03_FOOD_DATABASE'!$B$5:$L$60, 8, FALSE)*D64/100, IFERROR(VLOOKUP(C64, '04_RECIPE_DATABASE'!$B$5:$M$20, 10, FALSE)*D64, 0)))</f>
        <v/>
      </c>
      <c r="I64" s="107">
        <f>IF(OR(C64="", D64=""), "", IFERROR(VLOOKUP(C64, '03_FOOD_DATABASE'!$B$5:$L$60, 9, FALSE)*D64/100, IFERROR(VLOOKUP(C64, '04_RECIPE_DATABASE'!$B$5:$M$20, 11, FALSE)*D64, 0)))</f>
        <v/>
      </c>
      <c r="J64" s="106">
        <f>IF(OR(C64="", D64=""), "", IFERROR(VLOOKUP(C64, '03_FOOD_DATABASE'!$B$5:$L$60, 11, FALSE)*D64/100, IFERROR(VLOOKUP(C64, '04_RECIPE_DATABASE'!$B$5:$M$20, 12, FALSE)*D64, 0)))</f>
        <v/>
      </c>
      <c r="K64" s="7" t="n"/>
      <c r="L64" s="58" t="n"/>
      <c r="N64" s="108" t="n">
        <v>46373</v>
      </c>
      <c r="O64" s="109">
        <f>TEXT(N64, "dddd")</f>
        <v/>
      </c>
      <c r="P64" s="110">
        <f>IF(U64=0, "", SUMIFS($F$5:$F$1500, $A$5:$A$1500, N64))</f>
        <v/>
      </c>
      <c r="Q64" s="111">
        <f>IF(U64=0, "", SUMIFS($G$5:$G$1500, $A$5:$A$1500, N64))</f>
        <v/>
      </c>
      <c r="R64" s="111">
        <f>IF(U64=0, "", SUMIFS($H$5:$H$1500, $A$5:$A$1500, N64))</f>
        <v/>
      </c>
      <c r="S64" s="111">
        <f>IF(U64=0, "", SUMIFS($I$5:$I$1500, $A$5:$A$1500, N64))</f>
        <v/>
      </c>
      <c r="T64" s="110">
        <f>IF(U64=0, "", SUMIFS($J$5:$J$1500, $A$5:$A$1500, N64))</f>
        <v/>
      </c>
      <c r="U64" s="112">
        <f>COUNTIFS($A$5:$A$1500, N64)</f>
        <v/>
      </c>
      <c r="V64" s="113">
        <f>IF(U64=0, "CHƯA NHẬP", IF(U64&lt;3, "INCOMPLETE (Chưa đủ bữa)", "COMPLETE (Đầy đủ)"))</f>
        <v/>
      </c>
      <c r="W64" s="114">
        <f>IF(P64="", "", P64/'02_NUTRITION_SETUP'!$C$20)</f>
        <v/>
      </c>
      <c r="X64" s="114">
        <f>IF(Q64="", "", Q64/'02_NUTRITION_SETUP'!$C$21)</f>
        <v/>
      </c>
    </row>
    <row r="65" ht="22" customHeight="1">
      <c r="A65" s="57" t="n"/>
      <c r="B65" s="7" t="n"/>
      <c r="C65" s="58" t="n"/>
      <c r="D65" s="58" t="n"/>
      <c r="E65" s="7" t="n"/>
      <c r="F65" s="106">
        <f>IF(OR(C65="", D65=""), "", IFERROR(VLOOKUP(C65, '03_FOOD_DATABASE'!$B$5:$L$60, 6, FALSE)*D65/100, IFERROR(VLOOKUP(C65, '04_RECIPE_DATABASE'!$B$5:$M$20, 8, FALSE)*D65, 0)))</f>
        <v/>
      </c>
      <c r="G65" s="107">
        <f>IF(OR(C65="", D65=""), "", IFERROR(VLOOKUP(C65, '03_FOOD_DATABASE'!$B$5:$L$60, 7, FALSE)*D65/100, IFERROR(VLOOKUP(C65, '04_RECIPE_DATABASE'!$B$5:$M$20, 9, FALSE)*D65, 0)))</f>
        <v/>
      </c>
      <c r="H65" s="107">
        <f>IF(OR(C65="", D65=""), "", IFERROR(VLOOKUP(C65, '03_FOOD_DATABASE'!$B$5:$L$60, 8, FALSE)*D65/100, IFERROR(VLOOKUP(C65, '04_RECIPE_DATABASE'!$B$5:$M$20, 10, FALSE)*D65, 0)))</f>
        <v/>
      </c>
      <c r="I65" s="107">
        <f>IF(OR(C65="", D65=""), "", IFERROR(VLOOKUP(C65, '03_FOOD_DATABASE'!$B$5:$L$60, 9, FALSE)*D65/100, IFERROR(VLOOKUP(C65, '04_RECIPE_DATABASE'!$B$5:$M$20, 11, FALSE)*D65, 0)))</f>
        <v/>
      </c>
      <c r="J65" s="106">
        <f>IF(OR(C65="", D65=""), "", IFERROR(VLOOKUP(C65, '03_FOOD_DATABASE'!$B$5:$L$60, 11, FALSE)*D65/100, IFERROR(VLOOKUP(C65, '04_RECIPE_DATABASE'!$B$5:$M$20, 12, FALSE)*D65, 0)))</f>
        <v/>
      </c>
      <c r="K65" s="7" t="n"/>
      <c r="L65" s="58" t="n"/>
      <c r="N65" s="108" t="n">
        <v>46374</v>
      </c>
      <c r="O65" s="109">
        <f>TEXT(N65, "dddd")</f>
        <v/>
      </c>
      <c r="P65" s="110">
        <f>IF(U65=0, "", SUMIFS($F$5:$F$1500, $A$5:$A$1500, N65))</f>
        <v/>
      </c>
      <c r="Q65" s="111">
        <f>IF(U65=0, "", SUMIFS($G$5:$G$1500, $A$5:$A$1500, N65))</f>
        <v/>
      </c>
      <c r="R65" s="111">
        <f>IF(U65=0, "", SUMIFS($H$5:$H$1500, $A$5:$A$1500, N65))</f>
        <v/>
      </c>
      <c r="S65" s="111">
        <f>IF(U65=0, "", SUMIFS($I$5:$I$1500, $A$5:$A$1500, N65))</f>
        <v/>
      </c>
      <c r="T65" s="110">
        <f>IF(U65=0, "", SUMIFS($J$5:$J$1500, $A$5:$A$1500, N65))</f>
        <v/>
      </c>
      <c r="U65" s="112">
        <f>COUNTIFS($A$5:$A$1500, N65)</f>
        <v/>
      </c>
      <c r="V65" s="113">
        <f>IF(U65=0, "CHƯA NHẬP", IF(U65&lt;3, "INCOMPLETE (Chưa đủ bữa)", "COMPLETE (Đầy đủ)"))</f>
        <v/>
      </c>
      <c r="W65" s="114">
        <f>IF(P65="", "", P65/'02_NUTRITION_SETUP'!$C$20)</f>
        <v/>
      </c>
      <c r="X65" s="114">
        <f>IF(Q65="", "", Q65/'02_NUTRITION_SETUP'!$C$21)</f>
        <v/>
      </c>
    </row>
    <row r="66" ht="22" customHeight="1">
      <c r="A66" s="57" t="n"/>
      <c r="B66" s="7" t="n"/>
      <c r="C66" s="58" t="n"/>
      <c r="D66" s="58" t="n"/>
      <c r="E66" s="7" t="n"/>
      <c r="F66" s="106">
        <f>IF(OR(C66="", D66=""), "", IFERROR(VLOOKUP(C66, '03_FOOD_DATABASE'!$B$5:$L$60, 6, FALSE)*D66/100, IFERROR(VLOOKUP(C66, '04_RECIPE_DATABASE'!$B$5:$M$20, 8, FALSE)*D66, 0)))</f>
        <v/>
      </c>
      <c r="G66" s="107">
        <f>IF(OR(C66="", D66=""), "", IFERROR(VLOOKUP(C66, '03_FOOD_DATABASE'!$B$5:$L$60, 7, FALSE)*D66/100, IFERROR(VLOOKUP(C66, '04_RECIPE_DATABASE'!$B$5:$M$20, 9, FALSE)*D66, 0)))</f>
        <v/>
      </c>
      <c r="H66" s="107">
        <f>IF(OR(C66="", D66=""), "", IFERROR(VLOOKUP(C66, '03_FOOD_DATABASE'!$B$5:$L$60, 8, FALSE)*D66/100, IFERROR(VLOOKUP(C66, '04_RECIPE_DATABASE'!$B$5:$M$20, 10, FALSE)*D66, 0)))</f>
        <v/>
      </c>
      <c r="I66" s="107">
        <f>IF(OR(C66="", D66=""), "", IFERROR(VLOOKUP(C66, '03_FOOD_DATABASE'!$B$5:$L$60, 9, FALSE)*D66/100, IFERROR(VLOOKUP(C66, '04_RECIPE_DATABASE'!$B$5:$M$20, 11, FALSE)*D66, 0)))</f>
        <v/>
      </c>
      <c r="J66" s="106">
        <f>IF(OR(C66="", D66=""), "", IFERROR(VLOOKUP(C66, '03_FOOD_DATABASE'!$B$5:$L$60, 11, FALSE)*D66/100, IFERROR(VLOOKUP(C66, '04_RECIPE_DATABASE'!$B$5:$M$20, 12, FALSE)*D66, 0)))</f>
        <v/>
      </c>
      <c r="K66" s="7" t="n"/>
      <c r="L66" s="58" t="n"/>
      <c r="N66" s="108" t="n">
        <v>46375</v>
      </c>
      <c r="O66" s="109">
        <f>TEXT(N66, "dddd")</f>
        <v/>
      </c>
      <c r="P66" s="110">
        <f>IF(U66=0, "", SUMIFS($F$5:$F$1500, $A$5:$A$1500, N66))</f>
        <v/>
      </c>
      <c r="Q66" s="111">
        <f>IF(U66=0, "", SUMIFS($G$5:$G$1500, $A$5:$A$1500, N66))</f>
        <v/>
      </c>
      <c r="R66" s="111">
        <f>IF(U66=0, "", SUMIFS($H$5:$H$1500, $A$5:$A$1500, N66))</f>
        <v/>
      </c>
      <c r="S66" s="111">
        <f>IF(U66=0, "", SUMIFS($I$5:$I$1500, $A$5:$A$1500, N66))</f>
        <v/>
      </c>
      <c r="T66" s="110">
        <f>IF(U66=0, "", SUMIFS($J$5:$J$1500, $A$5:$A$1500, N66))</f>
        <v/>
      </c>
      <c r="U66" s="112">
        <f>COUNTIFS($A$5:$A$1500, N66)</f>
        <v/>
      </c>
      <c r="V66" s="113">
        <f>IF(U66=0, "CHƯA NHẬP", IF(U66&lt;3, "INCOMPLETE (Chưa đủ bữa)", "COMPLETE (Đầy đủ)"))</f>
        <v/>
      </c>
      <c r="W66" s="114">
        <f>IF(P66="", "", P66/'02_NUTRITION_SETUP'!$C$20)</f>
        <v/>
      </c>
      <c r="X66" s="114">
        <f>IF(Q66="", "", Q66/'02_NUTRITION_SETUP'!$C$21)</f>
        <v/>
      </c>
    </row>
    <row r="67" ht="22" customHeight="1">
      <c r="A67" s="57" t="n"/>
      <c r="B67" s="7" t="n"/>
      <c r="C67" s="58" t="n"/>
      <c r="D67" s="58" t="n"/>
      <c r="E67" s="7" t="n"/>
      <c r="F67" s="106">
        <f>IF(OR(C67="", D67=""), "", IFERROR(VLOOKUP(C67, '03_FOOD_DATABASE'!$B$5:$L$60, 6, FALSE)*D67/100, IFERROR(VLOOKUP(C67, '04_RECIPE_DATABASE'!$B$5:$M$20, 8, FALSE)*D67, 0)))</f>
        <v/>
      </c>
      <c r="G67" s="107">
        <f>IF(OR(C67="", D67=""), "", IFERROR(VLOOKUP(C67, '03_FOOD_DATABASE'!$B$5:$L$60, 7, FALSE)*D67/100, IFERROR(VLOOKUP(C67, '04_RECIPE_DATABASE'!$B$5:$M$20, 9, FALSE)*D67, 0)))</f>
        <v/>
      </c>
      <c r="H67" s="107">
        <f>IF(OR(C67="", D67=""), "", IFERROR(VLOOKUP(C67, '03_FOOD_DATABASE'!$B$5:$L$60, 8, FALSE)*D67/100, IFERROR(VLOOKUP(C67, '04_RECIPE_DATABASE'!$B$5:$M$20, 10, FALSE)*D67, 0)))</f>
        <v/>
      </c>
      <c r="I67" s="107">
        <f>IF(OR(C67="", D67=""), "", IFERROR(VLOOKUP(C67, '03_FOOD_DATABASE'!$B$5:$L$60, 9, FALSE)*D67/100, IFERROR(VLOOKUP(C67, '04_RECIPE_DATABASE'!$B$5:$M$20, 11, FALSE)*D67, 0)))</f>
        <v/>
      </c>
      <c r="J67" s="106">
        <f>IF(OR(C67="", D67=""), "", IFERROR(VLOOKUP(C67, '03_FOOD_DATABASE'!$B$5:$L$60, 11, FALSE)*D67/100, IFERROR(VLOOKUP(C67, '04_RECIPE_DATABASE'!$B$5:$M$20, 12, FALSE)*D67, 0)))</f>
        <v/>
      </c>
      <c r="K67" s="7" t="n"/>
      <c r="L67" s="58" t="n"/>
      <c r="N67" s="108" t="n">
        <v>46376</v>
      </c>
      <c r="O67" s="109">
        <f>TEXT(N67, "dddd")</f>
        <v/>
      </c>
      <c r="P67" s="110">
        <f>IF(U67=0, "", SUMIFS($F$5:$F$1500, $A$5:$A$1500, N67))</f>
        <v/>
      </c>
      <c r="Q67" s="111">
        <f>IF(U67=0, "", SUMIFS($G$5:$G$1500, $A$5:$A$1500, N67))</f>
        <v/>
      </c>
      <c r="R67" s="111">
        <f>IF(U67=0, "", SUMIFS($H$5:$H$1500, $A$5:$A$1500, N67))</f>
        <v/>
      </c>
      <c r="S67" s="111">
        <f>IF(U67=0, "", SUMIFS($I$5:$I$1500, $A$5:$A$1500, N67))</f>
        <v/>
      </c>
      <c r="T67" s="110">
        <f>IF(U67=0, "", SUMIFS($J$5:$J$1500, $A$5:$A$1500, N67))</f>
        <v/>
      </c>
      <c r="U67" s="112">
        <f>COUNTIFS($A$5:$A$1500, N67)</f>
        <v/>
      </c>
      <c r="V67" s="113">
        <f>IF(U67=0, "CHƯA NHẬP", IF(U67&lt;3, "INCOMPLETE (Chưa đủ bữa)", "COMPLETE (Đầy đủ)"))</f>
        <v/>
      </c>
      <c r="W67" s="114">
        <f>IF(P67="", "", P67/'02_NUTRITION_SETUP'!$C$20)</f>
        <v/>
      </c>
      <c r="X67" s="114">
        <f>IF(Q67="", "", Q67/'02_NUTRITION_SETUP'!$C$21)</f>
        <v/>
      </c>
    </row>
    <row r="68" ht="22" customHeight="1">
      <c r="A68" s="57" t="n"/>
      <c r="B68" s="7" t="n"/>
      <c r="C68" s="58" t="n"/>
      <c r="D68" s="58" t="n"/>
      <c r="E68" s="7" t="n"/>
      <c r="F68" s="106">
        <f>IF(OR(C68="", D68=""), "", IFERROR(VLOOKUP(C68, '03_FOOD_DATABASE'!$B$5:$L$60, 6, FALSE)*D68/100, IFERROR(VLOOKUP(C68, '04_RECIPE_DATABASE'!$B$5:$M$20, 8, FALSE)*D68, 0)))</f>
        <v/>
      </c>
      <c r="G68" s="107">
        <f>IF(OR(C68="", D68=""), "", IFERROR(VLOOKUP(C68, '03_FOOD_DATABASE'!$B$5:$L$60, 7, FALSE)*D68/100, IFERROR(VLOOKUP(C68, '04_RECIPE_DATABASE'!$B$5:$M$20, 9, FALSE)*D68, 0)))</f>
        <v/>
      </c>
      <c r="H68" s="107">
        <f>IF(OR(C68="", D68=""), "", IFERROR(VLOOKUP(C68, '03_FOOD_DATABASE'!$B$5:$L$60, 8, FALSE)*D68/100, IFERROR(VLOOKUP(C68, '04_RECIPE_DATABASE'!$B$5:$M$20, 10, FALSE)*D68, 0)))</f>
        <v/>
      </c>
      <c r="I68" s="107">
        <f>IF(OR(C68="", D68=""), "", IFERROR(VLOOKUP(C68, '03_FOOD_DATABASE'!$B$5:$L$60, 9, FALSE)*D68/100, IFERROR(VLOOKUP(C68, '04_RECIPE_DATABASE'!$B$5:$M$20, 11, FALSE)*D68, 0)))</f>
        <v/>
      </c>
      <c r="J68" s="106">
        <f>IF(OR(C68="", D68=""), "", IFERROR(VLOOKUP(C68, '03_FOOD_DATABASE'!$B$5:$L$60, 11, FALSE)*D68/100, IFERROR(VLOOKUP(C68, '04_RECIPE_DATABASE'!$B$5:$M$20, 12, FALSE)*D68, 0)))</f>
        <v/>
      </c>
      <c r="K68" s="7" t="n"/>
      <c r="L68" s="58" t="n"/>
      <c r="N68" s="108" t="n">
        <v>46377</v>
      </c>
      <c r="O68" s="109">
        <f>TEXT(N68, "dddd")</f>
        <v/>
      </c>
      <c r="P68" s="110">
        <f>IF(U68=0, "", SUMIFS($F$5:$F$1500, $A$5:$A$1500, N68))</f>
        <v/>
      </c>
      <c r="Q68" s="111">
        <f>IF(U68=0, "", SUMIFS($G$5:$G$1500, $A$5:$A$1500, N68))</f>
        <v/>
      </c>
      <c r="R68" s="111">
        <f>IF(U68=0, "", SUMIFS($H$5:$H$1500, $A$5:$A$1500, N68))</f>
        <v/>
      </c>
      <c r="S68" s="111">
        <f>IF(U68=0, "", SUMIFS($I$5:$I$1500, $A$5:$A$1500, N68))</f>
        <v/>
      </c>
      <c r="T68" s="110">
        <f>IF(U68=0, "", SUMIFS($J$5:$J$1500, $A$5:$A$1500, N68))</f>
        <v/>
      </c>
      <c r="U68" s="112">
        <f>COUNTIFS($A$5:$A$1500, N68)</f>
        <v/>
      </c>
      <c r="V68" s="113">
        <f>IF(U68=0, "CHƯA NHẬP", IF(U68&lt;3, "INCOMPLETE (Chưa đủ bữa)", "COMPLETE (Đầy đủ)"))</f>
        <v/>
      </c>
      <c r="W68" s="114">
        <f>IF(P68="", "", P68/'02_NUTRITION_SETUP'!$C$20)</f>
        <v/>
      </c>
      <c r="X68" s="114">
        <f>IF(Q68="", "", Q68/'02_NUTRITION_SETUP'!$C$21)</f>
        <v/>
      </c>
    </row>
    <row r="69" ht="22" customHeight="1">
      <c r="A69" s="57" t="n"/>
      <c r="B69" s="7" t="n"/>
      <c r="C69" s="58" t="n"/>
      <c r="D69" s="58" t="n"/>
      <c r="E69" s="7" t="n"/>
      <c r="F69" s="106">
        <f>IF(OR(C69="", D69=""), "", IFERROR(VLOOKUP(C69, '03_FOOD_DATABASE'!$B$5:$L$60, 6, FALSE)*D69/100, IFERROR(VLOOKUP(C69, '04_RECIPE_DATABASE'!$B$5:$M$20, 8, FALSE)*D69, 0)))</f>
        <v/>
      </c>
      <c r="G69" s="107">
        <f>IF(OR(C69="", D69=""), "", IFERROR(VLOOKUP(C69, '03_FOOD_DATABASE'!$B$5:$L$60, 7, FALSE)*D69/100, IFERROR(VLOOKUP(C69, '04_RECIPE_DATABASE'!$B$5:$M$20, 9, FALSE)*D69, 0)))</f>
        <v/>
      </c>
      <c r="H69" s="107">
        <f>IF(OR(C69="", D69=""), "", IFERROR(VLOOKUP(C69, '03_FOOD_DATABASE'!$B$5:$L$60, 8, FALSE)*D69/100, IFERROR(VLOOKUP(C69, '04_RECIPE_DATABASE'!$B$5:$M$20, 10, FALSE)*D69, 0)))</f>
        <v/>
      </c>
      <c r="I69" s="107">
        <f>IF(OR(C69="", D69=""), "", IFERROR(VLOOKUP(C69, '03_FOOD_DATABASE'!$B$5:$L$60, 9, FALSE)*D69/100, IFERROR(VLOOKUP(C69, '04_RECIPE_DATABASE'!$B$5:$M$20, 11, FALSE)*D69, 0)))</f>
        <v/>
      </c>
      <c r="J69" s="106">
        <f>IF(OR(C69="", D69=""), "", IFERROR(VLOOKUP(C69, '03_FOOD_DATABASE'!$B$5:$L$60, 11, FALSE)*D69/100, IFERROR(VLOOKUP(C69, '04_RECIPE_DATABASE'!$B$5:$M$20, 12, FALSE)*D69, 0)))</f>
        <v/>
      </c>
      <c r="K69" s="7" t="n"/>
      <c r="L69" s="58" t="n"/>
      <c r="N69" s="108" t="n">
        <v>46378</v>
      </c>
      <c r="O69" s="109">
        <f>TEXT(N69, "dddd")</f>
        <v/>
      </c>
      <c r="P69" s="110">
        <f>IF(U69=0, "", SUMIFS($F$5:$F$1500, $A$5:$A$1500, N69))</f>
        <v/>
      </c>
      <c r="Q69" s="111">
        <f>IF(U69=0, "", SUMIFS($G$5:$G$1500, $A$5:$A$1500, N69))</f>
        <v/>
      </c>
      <c r="R69" s="111">
        <f>IF(U69=0, "", SUMIFS($H$5:$H$1500, $A$5:$A$1500, N69))</f>
        <v/>
      </c>
      <c r="S69" s="111">
        <f>IF(U69=0, "", SUMIFS($I$5:$I$1500, $A$5:$A$1500, N69))</f>
        <v/>
      </c>
      <c r="T69" s="110">
        <f>IF(U69=0, "", SUMIFS($J$5:$J$1500, $A$5:$A$1500, N69))</f>
        <v/>
      </c>
      <c r="U69" s="112">
        <f>COUNTIFS($A$5:$A$1500, N69)</f>
        <v/>
      </c>
      <c r="V69" s="113">
        <f>IF(U69=0, "CHƯA NHẬP", IF(U69&lt;3, "INCOMPLETE (Chưa đủ bữa)", "COMPLETE (Đầy đủ)"))</f>
        <v/>
      </c>
      <c r="W69" s="114">
        <f>IF(P69="", "", P69/'02_NUTRITION_SETUP'!$C$20)</f>
        <v/>
      </c>
      <c r="X69" s="114">
        <f>IF(Q69="", "", Q69/'02_NUTRITION_SETUP'!$C$21)</f>
        <v/>
      </c>
    </row>
    <row r="70" ht="22" customHeight="1">
      <c r="A70" s="57" t="n"/>
      <c r="B70" s="7" t="n"/>
      <c r="C70" s="58" t="n"/>
      <c r="D70" s="58" t="n"/>
      <c r="E70" s="7" t="n"/>
      <c r="F70" s="106">
        <f>IF(OR(C70="", D70=""), "", IFERROR(VLOOKUP(C70, '03_FOOD_DATABASE'!$B$5:$L$60, 6, FALSE)*D70/100, IFERROR(VLOOKUP(C70, '04_RECIPE_DATABASE'!$B$5:$M$20, 8, FALSE)*D70, 0)))</f>
        <v/>
      </c>
      <c r="G70" s="107">
        <f>IF(OR(C70="", D70=""), "", IFERROR(VLOOKUP(C70, '03_FOOD_DATABASE'!$B$5:$L$60, 7, FALSE)*D70/100, IFERROR(VLOOKUP(C70, '04_RECIPE_DATABASE'!$B$5:$M$20, 9, FALSE)*D70, 0)))</f>
        <v/>
      </c>
      <c r="H70" s="107">
        <f>IF(OR(C70="", D70=""), "", IFERROR(VLOOKUP(C70, '03_FOOD_DATABASE'!$B$5:$L$60, 8, FALSE)*D70/100, IFERROR(VLOOKUP(C70, '04_RECIPE_DATABASE'!$B$5:$M$20, 10, FALSE)*D70, 0)))</f>
        <v/>
      </c>
      <c r="I70" s="107">
        <f>IF(OR(C70="", D70=""), "", IFERROR(VLOOKUP(C70, '03_FOOD_DATABASE'!$B$5:$L$60, 9, FALSE)*D70/100, IFERROR(VLOOKUP(C70, '04_RECIPE_DATABASE'!$B$5:$M$20, 11, FALSE)*D70, 0)))</f>
        <v/>
      </c>
      <c r="J70" s="106">
        <f>IF(OR(C70="", D70=""), "", IFERROR(VLOOKUP(C70, '03_FOOD_DATABASE'!$B$5:$L$60, 11, FALSE)*D70/100, IFERROR(VLOOKUP(C70, '04_RECIPE_DATABASE'!$B$5:$M$20, 12, FALSE)*D70, 0)))</f>
        <v/>
      </c>
      <c r="K70" s="7" t="n"/>
      <c r="L70" s="58" t="n"/>
      <c r="N70" s="108" t="n">
        <v>46379</v>
      </c>
      <c r="O70" s="109">
        <f>TEXT(N70, "dddd")</f>
        <v/>
      </c>
      <c r="P70" s="110">
        <f>IF(U70=0, "", SUMIFS($F$5:$F$1500, $A$5:$A$1500, N70))</f>
        <v/>
      </c>
      <c r="Q70" s="111">
        <f>IF(U70=0, "", SUMIFS($G$5:$G$1500, $A$5:$A$1500, N70))</f>
        <v/>
      </c>
      <c r="R70" s="111">
        <f>IF(U70=0, "", SUMIFS($H$5:$H$1500, $A$5:$A$1500, N70))</f>
        <v/>
      </c>
      <c r="S70" s="111">
        <f>IF(U70=0, "", SUMIFS($I$5:$I$1500, $A$5:$A$1500, N70))</f>
        <v/>
      </c>
      <c r="T70" s="110">
        <f>IF(U70=0, "", SUMIFS($J$5:$J$1500, $A$5:$A$1500, N70))</f>
        <v/>
      </c>
      <c r="U70" s="112">
        <f>COUNTIFS($A$5:$A$1500, N70)</f>
        <v/>
      </c>
      <c r="V70" s="113">
        <f>IF(U70=0, "CHƯA NHẬP", IF(U70&lt;3, "INCOMPLETE (Chưa đủ bữa)", "COMPLETE (Đầy đủ)"))</f>
        <v/>
      </c>
      <c r="W70" s="114">
        <f>IF(P70="", "", P70/'02_NUTRITION_SETUP'!$C$20)</f>
        <v/>
      </c>
      <c r="X70" s="114">
        <f>IF(Q70="", "", Q70/'02_NUTRITION_SETUP'!$C$21)</f>
        <v/>
      </c>
    </row>
    <row r="71" ht="22" customHeight="1">
      <c r="A71" s="57" t="n"/>
      <c r="B71" s="7" t="n"/>
      <c r="C71" s="58" t="n"/>
      <c r="D71" s="58" t="n"/>
      <c r="E71" s="7" t="n"/>
      <c r="F71" s="106">
        <f>IF(OR(C71="", D71=""), "", IFERROR(VLOOKUP(C71, '03_FOOD_DATABASE'!$B$5:$L$60, 6, FALSE)*D71/100, IFERROR(VLOOKUP(C71, '04_RECIPE_DATABASE'!$B$5:$M$20, 8, FALSE)*D71, 0)))</f>
        <v/>
      </c>
      <c r="G71" s="107">
        <f>IF(OR(C71="", D71=""), "", IFERROR(VLOOKUP(C71, '03_FOOD_DATABASE'!$B$5:$L$60, 7, FALSE)*D71/100, IFERROR(VLOOKUP(C71, '04_RECIPE_DATABASE'!$B$5:$M$20, 9, FALSE)*D71, 0)))</f>
        <v/>
      </c>
      <c r="H71" s="107">
        <f>IF(OR(C71="", D71=""), "", IFERROR(VLOOKUP(C71, '03_FOOD_DATABASE'!$B$5:$L$60, 8, FALSE)*D71/100, IFERROR(VLOOKUP(C71, '04_RECIPE_DATABASE'!$B$5:$M$20, 10, FALSE)*D71, 0)))</f>
        <v/>
      </c>
      <c r="I71" s="107">
        <f>IF(OR(C71="", D71=""), "", IFERROR(VLOOKUP(C71, '03_FOOD_DATABASE'!$B$5:$L$60, 9, FALSE)*D71/100, IFERROR(VLOOKUP(C71, '04_RECIPE_DATABASE'!$B$5:$M$20, 11, FALSE)*D71, 0)))</f>
        <v/>
      </c>
      <c r="J71" s="106">
        <f>IF(OR(C71="", D71=""), "", IFERROR(VLOOKUP(C71, '03_FOOD_DATABASE'!$B$5:$L$60, 11, FALSE)*D71/100, IFERROR(VLOOKUP(C71, '04_RECIPE_DATABASE'!$B$5:$M$20, 12, FALSE)*D71, 0)))</f>
        <v/>
      </c>
      <c r="K71" s="7" t="n"/>
      <c r="L71" s="58" t="n"/>
      <c r="N71" s="108" t="n">
        <v>46380</v>
      </c>
      <c r="O71" s="109">
        <f>TEXT(N71, "dddd")</f>
        <v/>
      </c>
      <c r="P71" s="110">
        <f>IF(U71=0, "", SUMIFS($F$5:$F$1500, $A$5:$A$1500, N71))</f>
        <v/>
      </c>
      <c r="Q71" s="111">
        <f>IF(U71=0, "", SUMIFS($G$5:$G$1500, $A$5:$A$1500, N71))</f>
        <v/>
      </c>
      <c r="R71" s="111">
        <f>IF(U71=0, "", SUMIFS($H$5:$H$1500, $A$5:$A$1500, N71))</f>
        <v/>
      </c>
      <c r="S71" s="111">
        <f>IF(U71=0, "", SUMIFS($I$5:$I$1500, $A$5:$A$1500, N71))</f>
        <v/>
      </c>
      <c r="T71" s="110">
        <f>IF(U71=0, "", SUMIFS($J$5:$J$1500, $A$5:$A$1500, N71))</f>
        <v/>
      </c>
      <c r="U71" s="112">
        <f>COUNTIFS($A$5:$A$1500, N71)</f>
        <v/>
      </c>
      <c r="V71" s="113">
        <f>IF(U71=0, "CHƯA NHẬP", IF(U71&lt;3, "INCOMPLETE (Chưa đủ bữa)", "COMPLETE (Đầy đủ)"))</f>
        <v/>
      </c>
      <c r="W71" s="114">
        <f>IF(P71="", "", P71/'02_NUTRITION_SETUP'!$C$20)</f>
        <v/>
      </c>
      <c r="X71" s="114">
        <f>IF(Q71="", "", Q71/'02_NUTRITION_SETUP'!$C$21)</f>
        <v/>
      </c>
    </row>
    <row r="72" ht="22" customHeight="1">
      <c r="A72" s="57" t="n"/>
      <c r="B72" s="7" t="n"/>
      <c r="C72" s="58" t="n"/>
      <c r="D72" s="58" t="n"/>
      <c r="E72" s="7" t="n"/>
      <c r="F72" s="106">
        <f>IF(OR(C72="", D72=""), "", IFERROR(VLOOKUP(C72, '03_FOOD_DATABASE'!$B$5:$L$60, 6, FALSE)*D72/100, IFERROR(VLOOKUP(C72, '04_RECIPE_DATABASE'!$B$5:$M$20, 8, FALSE)*D72, 0)))</f>
        <v/>
      </c>
      <c r="G72" s="107">
        <f>IF(OR(C72="", D72=""), "", IFERROR(VLOOKUP(C72, '03_FOOD_DATABASE'!$B$5:$L$60, 7, FALSE)*D72/100, IFERROR(VLOOKUP(C72, '04_RECIPE_DATABASE'!$B$5:$M$20, 9, FALSE)*D72, 0)))</f>
        <v/>
      </c>
      <c r="H72" s="107">
        <f>IF(OR(C72="", D72=""), "", IFERROR(VLOOKUP(C72, '03_FOOD_DATABASE'!$B$5:$L$60, 8, FALSE)*D72/100, IFERROR(VLOOKUP(C72, '04_RECIPE_DATABASE'!$B$5:$M$20, 10, FALSE)*D72, 0)))</f>
        <v/>
      </c>
      <c r="I72" s="107">
        <f>IF(OR(C72="", D72=""), "", IFERROR(VLOOKUP(C72, '03_FOOD_DATABASE'!$B$5:$L$60, 9, FALSE)*D72/100, IFERROR(VLOOKUP(C72, '04_RECIPE_DATABASE'!$B$5:$M$20, 11, FALSE)*D72, 0)))</f>
        <v/>
      </c>
      <c r="J72" s="106">
        <f>IF(OR(C72="", D72=""), "", IFERROR(VLOOKUP(C72, '03_FOOD_DATABASE'!$B$5:$L$60, 11, FALSE)*D72/100, IFERROR(VLOOKUP(C72, '04_RECIPE_DATABASE'!$B$5:$M$20, 12, FALSE)*D72, 0)))</f>
        <v/>
      </c>
      <c r="K72" s="7" t="n"/>
      <c r="L72" s="58" t="n"/>
      <c r="N72" s="108" t="n">
        <v>46381</v>
      </c>
      <c r="O72" s="109">
        <f>TEXT(N72, "dddd")</f>
        <v/>
      </c>
      <c r="P72" s="110">
        <f>IF(U72=0, "", SUMIFS($F$5:$F$1500, $A$5:$A$1500, N72))</f>
        <v/>
      </c>
      <c r="Q72" s="111">
        <f>IF(U72=0, "", SUMIFS($G$5:$G$1500, $A$5:$A$1500, N72))</f>
        <v/>
      </c>
      <c r="R72" s="111">
        <f>IF(U72=0, "", SUMIFS($H$5:$H$1500, $A$5:$A$1500, N72))</f>
        <v/>
      </c>
      <c r="S72" s="111">
        <f>IF(U72=0, "", SUMIFS($I$5:$I$1500, $A$5:$A$1500, N72))</f>
        <v/>
      </c>
      <c r="T72" s="110">
        <f>IF(U72=0, "", SUMIFS($J$5:$J$1500, $A$5:$A$1500, N72))</f>
        <v/>
      </c>
      <c r="U72" s="112">
        <f>COUNTIFS($A$5:$A$1500, N72)</f>
        <v/>
      </c>
      <c r="V72" s="113">
        <f>IF(U72=0, "CHƯA NHẬP", IF(U72&lt;3, "INCOMPLETE (Chưa đủ bữa)", "COMPLETE (Đầy đủ)"))</f>
        <v/>
      </c>
      <c r="W72" s="114">
        <f>IF(P72="", "", P72/'02_NUTRITION_SETUP'!$C$20)</f>
        <v/>
      </c>
      <c r="X72" s="114">
        <f>IF(Q72="", "", Q72/'02_NUTRITION_SETUP'!$C$21)</f>
        <v/>
      </c>
    </row>
    <row r="73" ht="22" customHeight="1">
      <c r="A73" s="57" t="n"/>
      <c r="B73" s="7" t="n"/>
      <c r="C73" s="58" t="n"/>
      <c r="D73" s="58" t="n"/>
      <c r="E73" s="7" t="n"/>
      <c r="F73" s="106">
        <f>IF(OR(C73="", D73=""), "", IFERROR(VLOOKUP(C73, '03_FOOD_DATABASE'!$B$5:$L$60, 6, FALSE)*D73/100, IFERROR(VLOOKUP(C73, '04_RECIPE_DATABASE'!$B$5:$M$20, 8, FALSE)*D73, 0)))</f>
        <v/>
      </c>
      <c r="G73" s="107">
        <f>IF(OR(C73="", D73=""), "", IFERROR(VLOOKUP(C73, '03_FOOD_DATABASE'!$B$5:$L$60, 7, FALSE)*D73/100, IFERROR(VLOOKUP(C73, '04_RECIPE_DATABASE'!$B$5:$M$20, 9, FALSE)*D73, 0)))</f>
        <v/>
      </c>
      <c r="H73" s="107">
        <f>IF(OR(C73="", D73=""), "", IFERROR(VLOOKUP(C73, '03_FOOD_DATABASE'!$B$5:$L$60, 8, FALSE)*D73/100, IFERROR(VLOOKUP(C73, '04_RECIPE_DATABASE'!$B$5:$M$20, 10, FALSE)*D73, 0)))</f>
        <v/>
      </c>
      <c r="I73" s="107">
        <f>IF(OR(C73="", D73=""), "", IFERROR(VLOOKUP(C73, '03_FOOD_DATABASE'!$B$5:$L$60, 9, FALSE)*D73/100, IFERROR(VLOOKUP(C73, '04_RECIPE_DATABASE'!$B$5:$M$20, 11, FALSE)*D73, 0)))</f>
        <v/>
      </c>
      <c r="J73" s="106">
        <f>IF(OR(C73="", D73=""), "", IFERROR(VLOOKUP(C73, '03_FOOD_DATABASE'!$B$5:$L$60, 11, FALSE)*D73/100, IFERROR(VLOOKUP(C73, '04_RECIPE_DATABASE'!$B$5:$M$20, 12, FALSE)*D73, 0)))</f>
        <v/>
      </c>
      <c r="K73" s="7" t="n"/>
      <c r="L73" s="58" t="n"/>
      <c r="N73" s="108" t="n">
        <v>46382</v>
      </c>
      <c r="O73" s="109">
        <f>TEXT(N73, "dddd")</f>
        <v/>
      </c>
      <c r="P73" s="110">
        <f>IF(U73=0, "", SUMIFS($F$5:$F$1500, $A$5:$A$1500, N73))</f>
        <v/>
      </c>
      <c r="Q73" s="111">
        <f>IF(U73=0, "", SUMIFS($G$5:$G$1500, $A$5:$A$1500, N73))</f>
        <v/>
      </c>
      <c r="R73" s="111">
        <f>IF(U73=0, "", SUMIFS($H$5:$H$1500, $A$5:$A$1500, N73))</f>
        <v/>
      </c>
      <c r="S73" s="111">
        <f>IF(U73=0, "", SUMIFS($I$5:$I$1500, $A$5:$A$1500, N73))</f>
        <v/>
      </c>
      <c r="T73" s="110">
        <f>IF(U73=0, "", SUMIFS($J$5:$J$1500, $A$5:$A$1500, N73))</f>
        <v/>
      </c>
      <c r="U73" s="112">
        <f>COUNTIFS($A$5:$A$1500, N73)</f>
        <v/>
      </c>
      <c r="V73" s="113">
        <f>IF(U73=0, "CHƯA NHẬP", IF(U73&lt;3, "INCOMPLETE (Chưa đủ bữa)", "COMPLETE (Đầy đủ)"))</f>
        <v/>
      </c>
      <c r="W73" s="114">
        <f>IF(P73="", "", P73/'02_NUTRITION_SETUP'!$C$20)</f>
        <v/>
      </c>
      <c r="X73" s="114">
        <f>IF(Q73="", "", Q73/'02_NUTRITION_SETUP'!$C$21)</f>
        <v/>
      </c>
    </row>
    <row r="74" ht="22" customHeight="1">
      <c r="A74" s="57" t="n"/>
      <c r="B74" s="7" t="n"/>
      <c r="C74" s="58" t="n"/>
      <c r="D74" s="58" t="n"/>
      <c r="E74" s="7" t="n"/>
      <c r="F74" s="106">
        <f>IF(OR(C74="", D74=""), "", IFERROR(VLOOKUP(C74, '03_FOOD_DATABASE'!$B$5:$L$60, 6, FALSE)*D74/100, IFERROR(VLOOKUP(C74, '04_RECIPE_DATABASE'!$B$5:$M$20, 8, FALSE)*D74, 0)))</f>
        <v/>
      </c>
      <c r="G74" s="107">
        <f>IF(OR(C74="", D74=""), "", IFERROR(VLOOKUP(C74, '03_FOOD_DATABASE'!$B$5:$L$60, 7, FALSE)*D74/100, IFERROR(VLOOKUP(C74, '04_RECIPE_DATABASE'!$B$5:$M$20, 9, FALSE)*D74, 0)))</f>
        <v/>
      </c>
      <c r="H74" s="107">
        <f>IF(OR(C74="", D74=""), "", IFERROR(VLOOKUP(C74, '03_FOOD_DATABASE'!$B$5:$L$60, 8, FALSE)*D74/100, IFERROR(VLOOKUP(C74, '04_RECIPE_DATABASE'!$B$5:$M$20, 10, FALSE)*D74, 0)))</f>
        <v/>
      </c>
      <c r="I74" s="107">
        <f>IF(OR(C74="", D74=""), "", IFERROR(VLOOKUP(C74, '03_FOOD_DATABASE'!$B$5:$L$60, 9, FALSE)*D74/100, IFERROR(VLOOKUP(C74, '04_RECIPE_DATABASE'!$B$5:$M$20, 11, FALSE)*D74, 0)))</f>
        <v/>
      </c>
      <c r="J74" s="106">
        <f>IF(OR(C74="", D74=""), "", IFERROR(VLOOKUP(C74, '03_FOOD_DATABASE'!$B$5:$L$60, 11, FALSE)*D74/100, IFERROR(VLOOKUP(C74, '04_RECIPE_DATABASE'!$B$5:$M$20, 12, FALSE)*D74, 0)))</f>
        <v/>
      </c>
      <c r="K74" s="7" t="n"/>
      <c r="L74" s="58" t="n"/>
      <c r="N74" s="108" t="n">
        <v>46383</v>
      </c>
      <c r="O74" s="109">
        <f>TEXT(N74, "dddd")</f>
        <v/>
      </c>
      <c r="P74" s="110">
        <f>IF(U74=0, "", SUMIFS($F$5:$F$1500, $A$5:$A$1500, N74))</f>
        <v/>
      </c>
      <c r="Q74" s="111">
        <f>IF(U74=0, "", SUMIFS($G$5:$G$1500, $A$5:$A$1500, N74))</f>
        <v/>
      </c>
      <c r="R74" s="111">
        <f>IF(U74=0, "", SUMIFS($H$5:$H$1500, $A$5:$A$1500, N74))</f>
        <v/>
      </c>
      <c r="S74" s="111">
        <f>IF(U74=0, "", SUMIFS($I$5:$I$1500, $A$5:$A$1500, N74))</f>
        <v/>
      </c>
      <c r="T74" s="110">
        <f>IF(U74=0, "", SUMIFS($J$5:$J$1500, $A$5:$A$1500, N74))</f>
        <v/>
      </c>
      <c r="U74" s="112">
        <f>COUNTIFS($A$5:$A$1500, N74)</f>
        <v/>
      </c>
      <c r="V74" s="113">
        <f>IF(U74=0, "CHƯA NHẬP", IF(U74&lt;3, "INCOMPLETE (Chưa đủ bữa)", "COMPLETE (Đầy đủ)"))</f>
        <v/>
      </c>
      <c r="W74" s="114">
        <f>IF(P74="", "", P74/'02_NUTRITION_SETUP'!$C$20)</f>
        <v/>
      </c>
      <c r="X74" s="114">
        <f>IF(Q74="", "", Q74/'02_NUTRITION_SETUP'!$C$21)</f>
        <v/>
      </c>
    </row>
    <row r="75" ht="22" customHeight="1">
      <c r="A75" s="57" t="n"/>
      <c r="B75" s="7" t="n"/>
      <c r="C75" s="58" t="n"/>
      <c r="D75" s="58" t="n"/>
      <c r="E75" s="7" t="n"/>
      <c r="F75" s="106">
        <f>IF(OR(C75="", D75=""), "", IFERROR(VLOOKUP(C75, '03_FOOD_DATABASE'!$B$5:$L$60, 6, FALSE)*D75/100, IFERROR(VLOOKUP(C75, '04_RECIPE_DATABASE'!$B$5:$M$20, 8, FALSE)*D75, 0)))</f>
        <v/>
      </c>
      <c r="G75" s="107">
        <f>IF(OR(C75="", D75=""), "", IFERROR(VLOOKUP(C75, '03_FOOD_DATABASE'!$B$5:$L$60, 7, FALSE)*D75/100, IFERROR(VLOOKUP(C75, '04_RECIPE_DATABASE'!$B$5:$M$20, 9, FALSE)*D75, 0)))</f>
        <v/>
      </c>
      <c r="H75" s="107">
        <f>IF(OR(C75="", D75=""), "", IFERROR(VLOOKUP(C75, '03_FOOD_DATABASE'!$B$5:$L$60, 8, FALSE)*D75/100, IFERROR(VLOOKUP(C75, '04_RECIPE_DATABASE'!$B$5:$M$20, 10, FALSE)*D75, 0)))</f>
        <v/>
      </c>
      <c r="I75" s="107">
        <f>IF(OR(C75="", D75=""), "", IFERROR(VLOOKUP(C75, '03_FOOD_DATABASE'!$B$5:$L$60, 9, FALSE)*D75/100, IFERROR(VLOOKUP(C75, '04_RECIPE_DATABASE'!$B$5:$M$20, 11, FALSE)*D75, 0)))</f>
        <v/>
      </c>
      <c r="J75" s="106">
        <f>IF(OR(C75="", D75=""), "", IFERROR(VLOOKUP(C75, '03_FOOD_DATABASE'!$B$5:$L$60, 11, FALSE)*D75/100, IFERROR(VLOOKUP(C75, '04_RECIPE_DATABASE'!$B$5:$M$20, 12, FALSE)*D75, 0)))</f>
        <v/>
      </c>
      <c r="K75" s="7" t="n"/>
      <c r="L75" s="58" t="n"/>
      <c r="N75" s="108" t="n">
        <v>46384</v>
      </c>
      <c r="O75" s="109">
        <f>TEXT(N75, "dddd")</f>
        <v/>
      </c>
      <c r="P75" s="110">
        <f>IF(U75=0, "", SUMIFS($F$5:$F$1500, $A$5:$A$1500, N75))</f>
        <v/>
      </c>
      <c r="Q75" s="111">
        <f>IF(U75=0, "", SUMIFS($G$5:$G$1500, $A$5:$A$1500, N75))</f>
        <v/>
      </c>
      <c r="R75" s="111">
        <f>IF(U75=0, "", SUMIFS($H$5:$H$1500, $A$5:$A$1500, N75))</f>
        <v/>
      </c>
      <c r="S75" s="111">
        <f>IF(U75=0, "", SUMIFS($I$5:$I$1500, $A$5:$A$1500, N75))</f>
        <v/>
      </c>
      <c r="T75" s="110">
        <f>IF(U75=0, "", SUMIFS($J$5:$J$1500, $A$5:$A$1500, N75))</f>
        <v/>
      </c>
      <c r="U75" s="112">
        <f>COUNTIFS($A$5:$A$1500, N75)</f>
        <v/>
      </c>
      <c r="V75" s="113">
        <f>IF(U75=0, "CHƯA NHẬP", IF(U75&lt;3, "INCOMPLETE (Chưa đủ bữa)", "COMPLETE (Đầy đủ)"))</f>
        <v/>
      </c>
      <c r="W75" s="114">
        <f>IF(P75="", "", P75/'02_NUTRITION_SETUP'!$C$20)</f>
        <v/>
      </c>
      <c r="X75" s="114">
        <f>IF(Q75="", "", Q75/'02_NUTRITION_SETUP'!$C$21)</f>
        <v/>
      </c>
    </row>
    <row r="76" ht="22" customHeight="1">
      <c r="A76" s="57" t="n"/>
      <c r="B76" s="7" t="n"/>
      <c r="C76" s="58" t="n"/>
      <c r="D76" s="58" t="n"/>
      <c r="E76" s="7" t="n"/>
      <c r="F76" s="106">
        <f>IF(OR(C76="", D76=""), "", IFERROR(VLOOKUP(C76, '03_FOOD_DATABASE'!$B$5:$L$60, 6, FALSE)*D76/100, IFERROR(VLOOKUP(C76, '04_RECIPE_DATABASE'!$B$5:$M$20, 8, FALSE)*D76, 0)))</f>
        <v/>
      </c>
      <c r="G76" s="107">
        <f>IF(OR(C76="", D76=""), "", IFERROR(VLOOKUP(C76, '03_FOOD_DATABASE'!$B$5:$L$60, 7, FALSE)*D76/100, IFERROR(VLOOKUP(C76, '04_RECIPE_DATABASE'!$B$5:$M$20, 9, FALSE)*D76, 0)))</f>
        <v/>
      </c>
      <c r="H76" s="107">
        <f>IF(OR(C76="", D76=""), "", IFERROR(VLOOKUP(C76, '03_FOOD_DATABASE'!$B$5:$L$60, 8, FALSE)*D76/100, IFERROR(VLOOKUP(C76, '04_RECIPE_DATABASE'!$B$5:$M$20, 10, FALSE)*D76, 0)))</f>
        <v/>
      </c>
      <c r="I76" s="107">
        <f>IF(OR(C76="", D76=""), "", IFERROR(VLOOKUP(C76, '03_FOOD_DATABASE'!$B$5:$L$60, 9, FALSE)*D76/100, IFERROR(VLOOKUP(C76, '04_RECIPE_DATABASE'!$B$5:$M$20, 11, FALSE)*D76, 0)))</f>
        <v/>
      </c>
      <c r="J76" s="106">
        <f>IF(OR(C76="", D76=""), "", IFERROR(VLOOKUP(C76, '03_FOOD_DATABASE'!$B$5:$L$60, 11, FALSE)*D76/100, IFERROR(VLOOKUP(C76, '04_RECIPE_DATABASE'!$B$5:$M$20, 12, FALSE)*D76, 0)))</f>
        <v/>
      </c>
      <c r="K76" s="7" t="n"/>
      <c r="L76" s="58" t="n"/>
      <c r="N76" s="108" t="n">
        <v>46385</v>
      </c>
      <c r="O76" s="109">
        <f>TEXT(N76, "dddd")</f>
        <v/>
      </c>
      <c r="P76" s="110">
        <f>IF(U76=0, "", SUMIFS($F$5:$F$1500, $A$5:$A$1500, N76))</f>
        <v/>
      </c>
      <c r="Q76" s="111">
        <f>IF(U76=0, "", SUMIFS($G$5:$G$1500, $A$5:$A$1500, N76))</f>
        <v/>
      </c>
      <c r="R76" s="111">
        <f>IF(U76=0, "", SUMIFS($H$5:$H$1500, $A$5:$A$1500, N76))</f>
        <v/>
      </c>
      <c r="S76" s="111">
        <f>IF(U76=0, "", SUMIFS($I$5:$I$1500, $A$5:$A$1500, N76))</f>
        <v/>
      </c>
      <c r="T76" s="110">
        <f>IF(U76=0, "", SUMIFS($J$5:$J$1500, $A$5:$A$1500, N76))</f>
        <v/>
      </c>
      <c r="U76" s="112">
        <f>COUNTIFS($A$5:$A$1500, N76)</f>
        <v/>
      </c>
      <c r="V76" s="113">
        <f>IF(U76=0, "CHƯA NHẬP", IF(U76&lt;3, "INCOMPLETE (Chưa đủ bữa)", "COMPLETE (Đầy đủ)"))</f>
        <v/>
      </c>
      <c r="W76" s="114">
        <f>IF(P76="", "", P76/'02_NUTRITION_SETUP'!$C$20)</f>
        <v/>
      </c>
      <c r="X76" s="114">
        <f>IF(Q76="", "", Q76/'02_NUTRITION_SETUP'!$C$21)</f>
        <v/>
      </c>
    </row>
    <row r="77" ht="22" customHeight="1">
      <c r="A77" s="57" t="n"/>
      <c r="B77" s="7" t="n"/>
      <c r="C77" s="58" t="n"/>
      <c r="D77" s="58" t="n"/>
      <c r="E77" s="7" t="n"/>
      <c r="F77" s="106">
        <f>IF(OR(C77="", D77=""), "", IFERROR(VLOOKUP(C77, '03_FOOD_DATABASE'!$B$5:$L$60, 6, FALSE)*D77/100, IFERROR(VLOOKUP(C77, '04_RECIPE_DATABASE'!$B$5:$M$20, 8, FALSE)*D77, 0)))</f>
        <v/>
      </c>
      <c r="G77" s="107">
        <f>IF(OR(C77="", D77=""), "", IFERROR(VLOOKUP(C77, '03_FOOD_DATABASE'!$B$5:$L$60, 7, FALSE)*D77/100, IFERROR(VLOOKUP(C77, '04_RECIPE_DATABASE'!$B$5:$M$20, 9, FALSE)*D77, 0)))</f>
        <v/>
      </c>
      <c r="H77" s="107">
        <f>IF(OR(C77="", D77=""), "", IFERROR(VLOOKUP(C77, '03_FOOD_DATABASE'!$B$5:$L$60, 8, FALSE)*D77/100, IFERROR(VLOOKUP(C77, '04_RECIPE_DATABASE'!$B$5:$M$20, 10, FALSE)*D77, 0)))</f>
        <v/>
      </c>
      <c r="I77" s="107">
        <f>IF(OR(C77="", D77=""), "", IFERROR(VLOOKUP(C77, '03_FOOD_DATABASE'!$B$5:$L$60, 9, FALSE)*D77/100, IFERROR(VLOOKUP(C77, '04_RECIPE_DATABASE'!$B$5:$M$20, 11, FALSE)*D77, 0)))</f>
        <v/>
      </c>
      <c r="J77" s="106">
        <f>IF(OR(C77="", D77=""), "", IFERROR(VLOOKUP(C77, '03_FOOD_DATABASE'!$B$5:$L$60, 11, FALSE)*D77/100, IFERROR(VLOOKUP(C77, '04_RECIPE_DATABASE'!$B$5:$M$20, 12, FALSE)*D77, 0)))</f>
        <v/>
      </c>
      <c r="K77" s="7" t="n"/>
      <c r="L77" s="58" t="n"/>
      <c r="N77" s="108" t="n">
        <v>46386</v>
      </c>
      <c r="O77" s="109">
        <f>TEXT(N77, "dddd")</f>
        <v/>
      </c>
      <c r="P77" s="110">
        <f>IF(U77=0, "", SUMIFS($F$5:$F$1500, $A$5:$A$1500, N77))</f>
        <v/>
      </c>
      <c r="Q77" s="111">
        <f>IF(U77=0, "", SUMIFS($G$5:$G$1500, $A$5:$A$1500, N77))</f>
        <v/>
      </c>
      <c r="R77" s="111">
        <f>IF(U77=0, "", SUMIFS($H$5:$H$1500, $A$5:$A$1500, N77))</f>
        <v/>
      </c>
      <c r="S77" s="111">
        <f>IF(U77=0, "", SUMIFS($I$5:$I$1500, $A$5:$A$1500, N77))</f>
        <v/>
      </c>
      <c r="T77" s="110">
        <f>IF(U77=0, "", SUMIFS($J$5:$J$1500, $A$5:$A$1500, N77))</f>
        <v/>
      </c>
      <c r="U77" s="112">
        <f>COUNTIFS($A$5:$A$1500, N77)</f>
        <v/>
      </c>
      <c r="V77" s="113">
        <f>IF(U77=0, "CHƯA NHẬP", IF(U77&lt;3, "INCOMPLETE (Chưa đủ bữa)", "COMPLETE (Đầy đủ)"))</f>
        <v/>
      </c>
      <c r="W77" s="114">
        <f>IF(P77="", "", P77/'02_NUTRITION_SETUP'!$C$20)</f>
        <v/>
      </c>
      <c r="X77" s="114">
        <f>IF(Q77="", "", Q77/'02_NUTRITION_SETUP'!$C$21)</f>
        <v/>
      </c>
    </row>
    <row r="78" ht="22" customHeight="1">
      <c r="A78" s="57" t="n"/>
      <c r="B78" s="7" t="n"/>
      <c r="C78" s="58" t="n"/>
      <c r="D78" s="58" t="n"/>
      <c r="E78" s="7" t="n"/>
      <c r="F78" s="106">
        <f>IF(OR(C78="", D78=""), "", IFERROR(VLOOKUP(C78, '03_FOOD_DATABASE'!$B$5:$L$60, 6, FALSE)*D78/100, IFERROR(VLOOKUP(C78, '04_RECIPE_DATABASE'!$B$5:$M$20, 8, FALSE)*D78, 0)))</f>
        <v/>
      </c>
      <c r="G78" s="107">
        <f>IF(OR(C78="", D78=""), "", IFERROR(VLOOKUP(C78, '03_FOOD_DATABASE'!$B$5:$L$60, 7, FALSE)*D78/100, IFERROR(VLOOKUP(C78, '04_RECIPE_DATABASE'!$B$5:$M$20, 9, FALSE)*D78, 0)))</f>
        <v/>
      </c>
      <c r="H78" s="107">
        <f>IF(OR(C78="", D78=""), "", IFERROR(VLOOKUP(C78, '03_FOOD_DATABASE'!$B$5:$L$60, 8, FALSE)*D78/100, IFERROR(VLOOKUP(C78, '04_RECIPE_DATABASE'!$B$5:$M$20, 10, FALSE)*D78, 0)))</f>
        <v/>
      </c>
      <c r="I78" s="107">
        <f>IF(OR(C78="", D78=""), "", IFERROR(VLOOKUP(C78, '03_FOOD_DATABASE'!$B$5:$L$60, 9, FALSE)*D78/100, IFERROR(VLOOKUP(C78, '04_RECIPE_DATABASE'!$B$5:$M$20, 11, FALSE)*D78, 0)))</f>
        <v/>
      </c>
      <c r="J78" s="106">
        <f>IF(OR(C78="", D78=""), "", IFERROR(VLOOKUP(C78, '03_FOOD_DATABASE'!$B$5:$L$60, 11, FALSE)*D78/100, IFERROR(VLOOKUP(C78, '04_RECIPE_DATABASE'!$B$5:$M$20, 12, FALSE)*D78, 0)))</f>
        <v/>
      </c>
      <c r="K78" s="7" t="n"/>
      <c r="L78" s="58" t="n"/>
      <c r="N78" s="108" t="n">
        <v>46387</v>
      </c>
      <c r="O78" s="109">
        <f>TEXT(N78, "dddd")</f>
        <v/>
      </c>
      <c r="P78" s="110">
        <f>IF(U78=0, "", SUMIFS($F$5:$F$1500, $A$5:$A$1500, N78))</f>
        <v/>
      </c>
      <c r="Q78" s="111">
        <f>IF(U78=0, "", SUMIFS($G$5:$G$1500, $A$5:$A$1500, N78))</f>
        <v/>
      </c>
      <c r="R78" s="111">
        <f>IF(U78=0, "", SUMIFS($H$5:$H$1500, $A$5:$A$1500, N78))</f>
        <v/>
      </c>
      <c r="S78" s="111">
        <f>IF(U78=0, "", SUMIFS($I$5:$I$1500, $A$5:$A$1500, N78))</f>
        <v/>
      </c>
      <c r="T78" s="110">
        <f>IF(U78=0, "", SUMIFS($J$5:$J$1500, $A$5:$A$1500, N78))</f>
        <v/>
      </c>
      <c r="U78" s="112">
        <f>COUNTIFS($A$5:$A$1500, N78)</f>
        <v/>
      </c>
      <c r="V78" s="113">
        <f>IF(U78=0, "CHƯA NHẬP", IF(U78&lt;3, "INCOMPLETE (Chưa đủ bữa)", "COMPLETE (Đầy đủ)"))</f>
        <v/>
      </c>
      <c r="W78" s="114">
        <f>IF(P78="", "", P78/'02_NUTRITION_SETUP'!$C$20)</f>
        <v/>
      </c>
      <c r="X78" s="114">
        <f>IF(Q78="", "", Q78/'02_NUTRITION_SETUP'!$C$21)</f>
        <v/>
      </c>
    </row>
    <row r="79" ht="22" customHeight="1">
      <c r="A79" s="57" t="n"/>
      <c r="B79" s="7" t="n"/>
      <c r="C79" s="58" t="n"/>
      <c r="D79" s="58" t="n"/>
      <c r="E79" s="7" t="n"/>
      <c r="F79" s="106">
        <f>IF(OR(C79="", D79=""), "", IFERROR(VLOOKUP(C79, '03_FOOD_DATABASE'!$B$5:$L$60, 6, FALSE)*D79/100, IFERROR(VLOOKUP(C79, '04_RECIPE_DATABASE'!$B$5:$M$20, 8, FALSE)*D79, 0)))</f>
        <v/>
      </c>
      <c r="G79" s="107">
        <f>IF(OR(C79="", D79=""), "", IFERROR(VLOOKUP(C79, '03_FOOD_DATABASE'!$B$5:$L$60, 7, FALSE)*D79/100, IFERROR(VLOOKUP(C79, '04_RECIPE_DATABASE'!$B$5:$M$20, 9, FALSE)*D79, 0)))</f>
        <v/>
      </c>
      <c r="H79" s="107">
        <f>IF(OR(C79="", D79=""), "", IFERROR(VLOOKUP(C79, '03_FOOD_DATABASE'!$B$5:$L$60, 8, FALSE)*D79/100, IFERROR(VLOOKUP(C79, '04_RECIPE_DATABASE'!$B$5:$M$20, 10, FALSE)*D79, 0)))</f>
        <v/>
      </c>
      <c r="I79" s="107">
        <f>IF(OR(C79="", D79=""), "", IFERROR(VLOOKUP(C79, '03_FOOD_DATABASE'!$B$5:$L$60, 9, FALSE)*D79/100, IFERROR(VLOOKUP(C79, '04_RECIPE_DATABASE'!$B$5:$M$20, 11, FALSE)*D79, 0)))</f>
        <v/>
      </c>
      <c r="J79" s="106">
        <f>IF(OR(C79="", D79=""), "", IFERROR(VLOOKUP(C79, '03_FOOD_DATABASE'!$B$5:$L$60, 11, FALSE)*D79/100, IFERROR(VLOOKUP(C79, '04_RECIPE_DATABASE'!$B$5:$M$20, 12, FALSE)*D79, 0)))</f>
        <v/>
      </c>
      <c r="K79" s="7" t="n"/>
      <c r="L79" s="58" t="n"/>
      <c r="N79" s="108" t="n">
        <v>46388</v>
      </c>
      <c r="O79" s="109">
        <f>TEXT(N79, "dddd")</f>
        <v/>
      </c>
      <c r="P79" s="110">
        <f>IF(U79=0, "", SUMIFS($F$5:$F$1500, $A$5:$A$1500, N79))</f>
        <v/>
      </c>
      <c r="Q79" s="111">
        <f>IF(U79=0, "", SUMIFS($G$5:$G$1500, $A$5:$A$1500, N79))</f>
        <v/>
      </c>
      <c r="R79" s="111">
        <f>IF(U79=0, "", SUMIFS($H$5:$H$1500, $A$5:$A$1500, N79))</f>
        <v/>
      </c>
      <c r="S79" s="111">
        <f>IF(U79=0, "", SUMIFS($I$5:$I$1500, $A$5:$A$1500, N79))</f>
        <v/>
      </c>
      <c r="T79" s="110">
        <f>IF(U79=0, "", SUMIFS($J$5:$J$1500, $A$5:$A$1500, N79))</f>
        <v/>
      </c>
      <c r="U79" s="112">
        <f>COUNTIFS($A$5:$A$1500, N79)</f>
        <v/>
      </c>
      <c r="V79" s="113">
        <f>IF(U79=0, "CHƯA NHẬP", IF(U79&lt;3, "INCOMPLETE (Chưa đủ bữa)", "COMPLETE (Đầy đủ)"))</f>
        <v/>
      </c>
      <c r="W79" s="114">
        <f>IF(P79="", "", P79/'02_NUTRITION_SETUP'!$C$20)</f>
        <v/>
      </c>
      <c r="X79" s="114">
        <f>IF(Q79="", "", Q79/'02_NUTRITION_SETUP'!$C$21)</f>
        <v/>
      </c>
    </row>
    <row r="80" ht="22" customHeight="1">
      <c r="A80" s="57" t="n"/>
      <c r="B80" s="7" t="n"/>
      <c r="C80" s="58" t="n"/>
      <c r="D80" s="58" t="n"/>
      <c r="E80" s="7" t="n"/>
      <c r="F80" s="106">
        <f>IF(OR(C80="", D80=""), "", IFERROR(VLOOKUP(C80, '03_FOOD_DATABASE'!$B$5:$L$60, 6, FALSE)*D80/100, IFERROR(VLOOKUP(C80, '04_RECIPE_DATABASE'!$B$5:$M$20, 8, FALSE)*D80, 0)))</f>
        <v/>
      </c>
      <c r="G80" s="107">
        <f>IF(OR(C80="", D80=""), "", IFERROR(VLOOKUP(C80, '03_FOOD_DATABASE'!$B$5:$L$60, 7, FALSE)*D80/100, IFERROR(VLOOKUP(C80, '04_RECIPE_DATABASE'!$B$5:$M$20, 9, FALSE)*D80, 0)))</f>
        <v/>
      </c>
      <c r="H80" s="107">
        <f>IF(OR(C80="", D80=""), "", IFERROR(VLOOKUP(C80, '03_FOOD_DATABASE'!$B$5:$L$60, 8, FALSE)*D80/100, IFERROR(VLOOKUP(C80, '04_RECIPE_DATABASE'!$B$5:$M$20, 10, FALSE)*D80, 0)))</f>
        <v/>
      </c>
      <c r="I80" s="107">
        <f>IF(OR(C80="", D80=""), "", IFERROR(VLOOKUP(C80, '03_FOOD_DATABASE'!$B$5:$L$60, 9, FALSE)*D80/100, IFERROR(VLOOKUP(C80, '04_RECIPE_DATABASE'!$B$5:$M$20, 11, FALSE)*D80, 0)))</f>
        <v/>
      </c>
      <c r="J80" s="106">
        <f>IF(OR(C80="", D80=""), "", IFERROR(VLOOKUP(C80, '03_FOOD_DATABASE'!$B$5:$L$60, 11, FALSE)*D80/100, IFERROR(VLOOKUP(C80, '04_RECIPE_DATABASE'!$B$5:$M$20, 12, FALSE)*D80, 0)))</f>
        <v/>
      </c>
      <c r="K80" s="7" t="n"/>
      <c r="L80" s="58" t="n"/>
      <c r="N80" s="108" t="n">
        <v>46389</v>
      </c>
      <c r="O80" s="109">
        <f>TEXT(N80, "dddd")</f>
        <v/>
      </c>
      <c r="P80" s="110">
        <f>IF(U80=0, "", SUMIFS($F$5:$F$1500, $A$5:$A$1500, N80))</f>
        <v/>
      </c>
      <c r="Q80" s="111">
        <f>IF(U80=0, "", SUMIFS($G$5:$G$1500, $A$5:$A$1500, N80))</f>
        <v/>
      </c>
      <c r="R80" s="111">
        <f>IF(U80=0, "", SUMIFS($H$5:$H$1500, $A$5:$A$1500, N80))</f>
        <v/>
      </c>
      <c r="S80" s="111">
        <f>IF(U80=0, "", SUMIFS($I$5:$I$1500, $A$5:$A$1500, N80))</f>
        <v/>
      </c>
      <c r="T80" s="110">
        <f>IF(U80=0, "", SUMIFS($J$5:$J$1500, $A$5:$A$1500, N80))</f>
        <v/>
      </c>
      <c r="U80" s="112">
        <f>COUNTIFS($A$5:$A$1500, N80)</f>
        <v/>
      </c>
      <c r="V80" s="113">
        <f>IF(U80=0, "CHƯA NHẬP", IF(U80&lt;3, "INCOMPLETE (Chưa đủ bữa)", "COMPLETE (Đầy đủ)"))</f>
        <v/>
      </c>
      <c r="W80" s="114">
        <f>IF(P80="", "", P80/'02_NUTRITION_SETUP'!$C$20)</f>
        <v/>
      </c>
      <c r="X80" s="114">
        <f>IF(Q80="", "", Q80/'02_NUTRITION_SETUP'!$C$21)</f>
        <v/>
      </c>
    </row>
    <row r="81" ht="22" customHeight="1">
      <c r="A81" s="57" t="n"/>
      <c r="B81" s="7" t="n"/>
      <c r="C81" s="58" t="n"/>
      <c r="D81" s="58" t="n"/>
      <c r="E81" s="7" t="n"/>
      <c r="F81" s="106">
        <f>IF(OR(C81="", D81=""), "", IFERROR(VLOOKUP(C81, '03_FOOD_DATABASE'!$B$5:$L$60, 6, FALSE)*D81/100, IFERROR(VLOOKUP(C81, '04_RECIPE_DATABASE'!$B$5:$M$20, 8, FALSE)*D81, 0)))</f>
        <v/>
      </c>
      <c r="G81" s="107">
        <f>IF(OR(C81="", D81=""), "", IFERROR(VLOOKUP(C81, '03_FOOD_DATABASE'!$B$5:$L$60, 7, FALSE)*D81/100, IFERROR(VLOOKUP(C81, '04_RECIPE_DATABASE'!$B$5:$M$20, 9, FALSE)*D81, 0)))</f>
        <v/>
      </c>
      <c r="H81" s="107">
        <f>IF(OR(C81="", D81=""), "", IFERROR(VLOOKUP(C81, '03_FOOD_DATABASE'!$B$5:$L$60, 8, FALSE)*D81/100, IFERROR(VLOOKUP(C81, '04_RECIPE_DATABASE'!$B$5:$M$20, 10, FALSE)*D81, 0)))</f>
        <v/>
      </c>
      <c r="I81" s="107">
        <f>IF(OR(C81="", D81=""), "", IFERROR(VLOOKUP(C81, '03_FOOD_DATABASE'!$B$5:$L$60, 9, FALSE)*D81/100, IFERROR(VLOOKUP(C81, '04_RECIPE_DATABASE'!$B$5:$M$20, 11, FALSE)*D81, 0)))</f>
        <v/>
      </c>
      <c r="J81" s="106">
        <f>IF(OR(C81="", D81=""), "", IFERROR(VLOOKUP(C81, '03_FOOD_DATABASE'!$B$5:$L$60, 11, FALSE)*D81/100, IFERROR(VLOOKUP(C81, '04_RECIPE_DATABASE'!$B$5:$M$20, 12, FALSE)*D81, 0)))</f>
        <v/>
      </c>
      <c r="K81" s="7" t="n"/>
      <c r="L81" s="58" t="n"/>
      <c r="N81" s="108" t="n">
        <v>46390</v>
      </c>
      <c r="O81" s="109">
        <f>TEXT(N81, "dddd")</f>
        <v/>
      </c>
      <c r="P81" s="110">
        <f>IF(U81=0, "", SUMIFS($F$5:$F$1500, $A$5:$A$1500, N81))</f>
        <v/>
      </c>
      <c r="Q81" s="111">
        <f>IF(U81=0, "", SUMIFS($G$5:$G$1500, $A$5:$A$1500, N81))</f>
        <v/>
      </c>
      <c r="R81" s="111">
        <f>IF(U81=0, "", SUMIFS($H$5:$H$1500, $A$5:$A$1500, N81))</f>
        <v/>
      </c>
      <c r="S81" s="111">
        <f>IF(U81=0, "", SUMIFS($I$5:$I$1500, $A$5:$A$1500, N81))</f>
        <v/>
      </c>
      <c r="T81" s="110">
        <f>IF(U81=0, "", SUMIFS($J$5:$J$1500, $A$5:$A$1500, N81))</f>
        <v/>
      </c>
      <c r="U81" s="112">
        <f>COUNTIFS($A$5:$A$1500, N81)</f>
        <v/>
      </c>
      <c r="V81" s="113">
        <f>IF(U81=0, "CHƯA NHẬP", IF(U81&lt;3, "INCOMPLETE (Chưa đủ bữa)", "COMPLETE (Đầy đủ)"))</f>
        <v/>
      </c>
      <c r="W81" s="114">
        <f>IF(P81="", "", P81/'02_NUTRITION_SETUP'!$C$20)</f>
        <v/>
      </c>
      <c r="X81" s="114">
        <f>IF(Q81="", "", Q81/'02_NUTRITION_SETUP'!$C$21)</f>
        <v/>
      </c>
    </row>
    <row r="82" ht="22" customHeight="1">
      <c r="A82" s="57" t="n"/>
      <c r="B82" s="7" t="n"/>
      <c r="C82" s="58" t="n"/>
      <c r="D82" s="58" t="n"/>
      <c r="E82" s="7" t="n"/>
      <c r="F82" s="106">
        <f>IF(OR(C82="", D82=""), "", IFERROR(VLOOKUP(C82, '03_FOOD_DATABASE'!$B$5:$L$60, 6, FALSE)*D82/100, IFERROR(VLOOKUP(C82, '04_RECIPE_DATABASE'!$B$5:$M$20, 8, FALSE)*D82, 0)))</f>
        <v/>
      </c>
      <c r="G82" s="107">
        <f>IF(OR(C82="", D82=""), "", IFERROR(VLOOKUP(C82, '03_FOOD_DATABASE'!$B$5:$L$60, 7, FALSE)*D82/100, IFERROR(VLOOKUP(C82, '04_RECIPE_DATABASE'!$B$5:$M$20, 9, FALSE)*D82, 0)))</f>
        <v/>
      </c>
      <c r="H82" s="107">
        <f>IF(OR(C82="", D82=""), "", IFERROR(VLOOKUP(C82, '03_FOOD_DATABASE'!$B$5:$L$60, 8, FALSE)*D82/100, IFERROR(VLOOKUP(C82, '04_RECIPE_DATABASE'!$B$5:$M$20, 10, FALSE)*D82, 0)))</f>
        <v/>
      </c>
      <c r="I82" s="107">
        <f>IF(OR(C82="", D82=""), "", IFERROR(VLOOKUP(C82, '03_FOOD_DATABASE'!$B$5:$L$60, 9, FALSE)*D82/100, IFERROR(VLOOKUP(C82, '04_RECIPE_DATABASE'!$B$5:$M$20, 11, FALSE)*D82, 0)))</f>
        <v/>
      </c>
      <c r="J82" s="106">
        <f>IF(OR(C82="", D82=""), "", IFERROR(VLOOKUP(C82, '03_FOOD_DATABASE'!$B$5:$L$60, 11, FALSE)*D82/100, IFERROR(VLOOKUP(C82, '04_RECIPE_DATABASE'!$B$5:$M$20, 12, FALSE)*D82, 0)))</f>
        <v/>
      </c>
      <c r="K82" s="7" t="n"/>
      <c r="L82" s="58" t="n"/>
      <c r="N82" s="108" t="n">
        <v>46391</v>
      </c>
      <c r="O82" s="109">
        <f>TEXT(N82, "dddd")</f>
        <v/>
      </c>
      <c r="P82" s="110">
        <f>IF(U82=0, "", SUMIFS($F$5:$F$1500, $A$5:$A$1500, N82))</f>
        <v/>
      </c>
      <c r="Q82" s="111">
        <f>IF(U82=0, "", SUMIFS($G$5:$G$1500, $A$5:$A$1500, N82))</f>
        <v/>
      </c>
      <c r="R82" s="111">
        <f>IF(U82=0, "", SUMIFS($H$5:$H$1500, $A$5:$A$1500, N82))</f>
        <v/>
      </c>
      <c r="S82" s="111">
        <f>IF(U82=0, "", SUMIFS($I$5:$I$1500, $A$5:$A$1500, N82))</f>
        <v/>
      </c>
      <c r="T82" s="110">
        <f>IF(U82=0, "", SUMIFS($J$5:$J$1500, $A$5:$A$1500, N82))</f>
        <v/>
      </c>
      <c r="U82" s="112">
        <f>COUNTIFS($A$5:$A$1500, N82)</f>
        <v/>
      </c>
      <c r="V82" s="113">
        <f>IF(U82=0, "CHƯA NHẬP", IF(U82&lt;3, "INCOMPLETE (Chưa đủ bữa)", "COMPLETE (Đầy đủ)"))</f>
        <v/>
      </c>
      <c r="W82" s="114">
        <f>IF(P82="", "", P82/'02_NUTRITION_SETUP'!$C$20)</f>
        <v/>
      </c>
      <c r="X82" s="114">
        <f>IF(Q82="", "", Q82/'02_NUTRITION_SETUP'!$C$21)</f>
        <v/>
      </c>
    </row>
    <row r="83" ht="22" customHeight="1">
      <c r="A83" s="57" t="n"/>
      <c r="B83" s="7" t="n"/>
      <c r="C83" s="58" t="n"/>
      <c r="D83" s="58" t="n"/>
      <c r="E83" s="7" t="n"/>
      <c r="F83" s="106">
        <f>IF(OR(C83="", D83=""), "", IFERROR(VLOOKUP(C83, '03_FOOD_DATABASE'!$B$5:$L$60, 6, FALSE)*D83/100, IFERROR(VLOOKUP(C83, '04_RECIPE_DATABASE'!$B$5:$M$20, 8, FALSE)*D83, 0)))</f>
        <v/>
      </c>
      <c r="G83" s="107">
        <f>IF(OR(C83="", D83=""), "", IFERROR(VLOOKUP(C83, '03_FOOD_DATABASE'!$B$5:$L$60, 7, FALSE)*D83/100, IFERROR(VLOOKUP(C83, '04_RECIPE_DATABASE'!$B$5:$M$20, 9, FALSE)*D83, 0)))</f>
        <v/>
      </c>
      <c r="H83" s="107">
        <f>IF(OR(C83="", D83=""), "", IFERROR(VLOOKUP(C83, '03_FOOD_DATABASE'!$B$5:$L$60, 8, FALSE)*D83/100, IFERROR(VLOOKUP(C83, '04_RECIPE_DATABASE'!$B$5:$M$20, 10, FALSE)*D83, 0)))</f>
        <v/>
      </c>
      <c r="I83" s="107">
        <f>IF(OR(C83="", D83=""), "", IFERROR(VLOOKUP(C83, '03_FOOD_DATABASE'!$B$5:$L$60, 9, FALSE)*D83/100, IFERROR(VLOOKUP(C83, '04_RECIPE_DATABASE'!$B$5:$M$20, 11, FALSE)*D83, 0)))</f>
        <v/>
      </c>
      <c r="J83" s="106">
        <f>IF(OR(C83="", D83=""), "", IFERROR(VLOOKUP(C83, '03_FOOD_DATABASE'!$B$5:$L$60, 11, FALSE)*D83/100, IFERROR(VLOOKUP(C83, '04_RECIPE_DATABASE'!$B$5:$M$20, 12, FALSE)*D83, 0)))</f>
        <v/>
      </c>
      <c r="K83" s="7" t="n"/>
      <c r="L83" s="58" t="n"/>
      <c r="N83" s="108" t="n">
        <v>46392</v>
      </c>
      <c r="O83" s="109">
        <f>TEXT(N83, "dddd")</f>
        <v/>
      </c>
      <c r="P83" s="110">
        <f>IF(U83=0, "", SUMIFS($F$5:$F$1500, $A$5:$A$1500, N83))</f>
        <v/>
      </c>
      <c r="Q83" s="111">
        <f>IF(U83=0, "", SUMIFS($G$5:$G$1500, $A$5:$A$1500, N83))</f>
        <v/>
      </c>
      <c r="R83" s="111">
        <f>IF(U83=0, "", SUMIFS($H$5:$H$1500, $A$5:$A$1500, N83))</f>
        <v/>
      </c>
      <c r="S83" s="111">
        <f>IF(U83=0, "", SUMIFS($I$5:$I$1500, $A$5:$A$1500, N83))</f>
        <v/>
      </c>
      <c r="T83" s="110">
        <f>IF(U83=0, "", SUMIFS($J$5:$J$1500, $A$5:$A$1500, N83))</f>
        <v/>
      </c>
      <c r="U83" s="112">
        <f>COUNTIFS($A$5:$A$1500, N83)</f>
        <v/>
      </c>
      <c r="V83" s="113">
        <f>IF(U83=0, "CHƯA NHẬP", IF(U83&lt;3, "INCOMPLETE (Chưa đủ bữa)", "COMPLETE (Đầy đủ)"))</f>
        <v/>
      </c>
      <c r="W83" s="114">
        <f>IF(P83="", "", P83/'02_NUTRITION_SETUP'!$C$20)</f>
        <v/>
      </c>
      <c r="X83" s="114">
        <f>IF(Q83="", "", Q83/'02_NUTRITION_SETUP'!$C$21)</f>
        <v/>
      </c>
    </row>
    <row r="84" ht="22" customHeight="1">
      <c r="A84" s="57" t="n"/>
      <c r="B84" s="7" t="n"/>
      <c r="C84" s="58" t="n"/>
      <c r="D84" s="58" t="n"/>
      <c r="E84" s="7" t="n"/>
      <c r="F84" s="106">
        <f>IF(OR(C84="", D84=""), "", IFERROR(VLOOKUP(C84, '03_FOOD_DATABASE'!$B$5:$L$60, 6, FALSE)*D84/100, IFERROR(VLOOKUP(C84, '04_RECIPE_DATABASE'!$B$5:$M$20, 8, FALSE)*D84, 0)))</f>
        <v/>
      </c>
      <c r="G84" s="107">
        <f>IF(OR(C84="", D84=""), "", IFERROR(VLOOKUP(C84, '03_FOOD_DATABASE'!$B$5:$L$60, 7, FALSE)*D84/100, IFERROR(VLOOKUP(C84, '04_RECIPE_DATABASE'!$B$5:$M$20, 9, FALSE)*D84, 0)))</f>
        <v/>
      </c>
      <c r="H84" s="107">
        <f>IF(OR(C84="", D84=""), "", IFERROR(VLOOKUP(C84, '03_FOOD_DATABASE'!$B$5:$L$60, 8, FALSE)*D84/100, IFERROR(VLOOKUP(C84, '04_RECIPE_DATABASE'!$B$5:$M$20, 10, FALSE)*D84, 0)))</f>
        <v/>
      </c>
      <c r="I84" s="107">
        <f>IF(OR(C84="", D84=""), "", IFERROR(VLOOKUP(C84, '03_FOOD_DATABASE'!$B$5:$L$60, 9, FALSE)*D84/100, IFERROR(VLOOKUP(C84, '04_RECIPE_DATABASE'!$B$5:$M$20, 11, FALSE)*D84, 0)))</f>
        <v/>
      </c>
      <c r="J84" s="106">
        <f>IF(OR(C84="", D84=""), "", IFERROR(VLOOKUP(C84, '03_FOOD_DATABASE'!$B$5:$L$60, 11, FALSE)*D84/100, IFERROR(VLOOKUP(C84, '04_RECIPE_DATABASE'!$B$5:$M$20, 12, FALSE)*D84, 0)))</f>
        <v/>
      </c>
      <c r="K84" s="7" t="n"/>
      <c r="L84" s="58" t="n"/>
      <c r="N84" s="108" t="n">
        <v>46393</v>
      </c>
      <c r="O84" s="109">
        <f>TEXT(N84, "dddd")</f>
        <v/>
      </c>
      <c r="P84" s="110">
        <f>IF(U84=0, "", SUMIFS($F$5:$F$1500, $A$5:$A$1500, N84))</f>
        <v/>
      </c>
      <c r="Q84" s="111">
        <f>IF(U84=0, "", SUMIFS($G$5:$G$1500, $A$5:$A$1500, N84))</f>
        <v/>
      </c>
      <c r="R84" s="111">
        <f>IF(U84=0, "", SUMIFS($H$5:$H$1500, $A$5:$A$1500, N84))</f>
        <v/>
      </c>
      <c r="S84" s="111">
        <f>IF(U84=0, "", SUMIFS($I$5:$I$1500, $A$5:$A$1500, N84))</f>
        <v/>
      </c>
      <c r="T84" s="110">
        <f>IF(U84=0, "", SUMIFS($J$5:$J$1500, $A$5:$A$1500, N84))</f>
        <v/>
      </c>
      <c r="U84" s="112">
        <f>COUNTIFS($A$5:$A$1500, N84)</f>
        <v/>
      </c>
      <c r="V84" s="113">
        <f>IF(U84=0, "CHƯA NHẬP", IF(U84&lt;3, "INCOMPLETE (Chưa đủ bữa)", "COMPLETE (Đầy đủ)"))</f>
        <v/>
      </c>
      <c r="W84" s="114">
        <f>IF(P84="", "", P84/'02_NUTRITION_SETUP'!$C$20)</f>
        <v/>
      </c>
      <c r="X84" s="114">
        <f>IF(Q84="", "", Q84/'02_NUTRITION_SETUP'!$C$21)</f>
        <v/>
      </c>
    </row>
    <row r="85" ht="22" customHeight="1">
      <c r="A85" s="57" t="n"/>
      <c r="B85" s="7" t="n"/>
      <c r="C85" s="58" t="n"/>
      <c r="D85" s="58" t="n"/>
      <c r="E85" s="7" t="n"/>
      <c r="F85" s="106">
        <f>IF(OR(C85="", D85=""), "", IFERROR(VLOOKUP(C85, '03_FOOD_DATABASE'!$B$5:$L$60, 6, FALSE)*D85/100, IFERROR(VLOOKUP(C85, '04_RECIPE_DATABASE'!$B$5:$M$20, 8, FALSE)*D85, 0)))</f>
        <v/>
      </c>
      <c r="G85" s="107">
        <f>IF(OR(C85="", D85=""), "", IFERROR(VLOOKUP(C85, '03_FOOD_DATABASE'!$B$5:$L$60, 7, FALSE)*D85/100, IFERROR(VLOOKUP(C85, '04_RECIPE_DATABASE'!$B$5:$M$20, 9, FALSE)*D85, 0)))</f>
        <v/>
      </c>
      <c r="H85" s="107">
        <f>IF(OR(C85="", D85=""), "", IFERROR(VLOOKUP(C85, '03_FOOD_DATABASE'!$B$5:$L$60, 8, FALSE)*D85/100, IFERROR(VLOOKUP(C85, '04_RECIPE_DATABASE'!$B$5:$M$20, 10, FALSE)*D85, 0)))</f>
        <v/>
      </c>
      <c r="I85" s="107">
        <f>IF(OR(C85="", D85=""), "", IFERROR(VLOOKUP(C85, '03_FOOD_DATABASE'!$B$5:$L$60, 9, FALSE)*D85/100, IFERROR(VLOOKUP(C85, '04_RECIPE_DATABASE'!$B$5:$M$20, 11, FALSE)*D85, 0)))</f>
        <v/>
      </c>
      <c r="J85" s="106">
        <f>IF(OR(C85="", D85=""), "", IFERROR(VLOOKUP(C85, '03_FOOD_DATABASE'!$B$5:$L$60, 11, FALSE)*D85/100, IFERROR(VLOOKUP(C85, '04_RECIPE_DATABASE'!$B$5:$M$20, 12, FALSE)*D85, 0)))</f>
        <v/>
      </c>
      <c r="K85" s="7" t="n"/>
      <c r="L85" s="58" t="n"/>
      <c r="N85" s="108" t="n">
        <v>46394</v>
      </c>
      <c r="O85" s="109">
        <f>TEXT(N85, "dddd")</f>
        <v/>
      </c>
      <c r="P85" s="110">
        <f>IF(U85=0, "", SUMIFS($F$5:$F$1500, $A$5:$A$1500, N85))</f>
        <v/>
      </c>
      <c r="Q85" s="111">
        <f>IF(U85=0, "", SUMIFS($G$5:$G$1500, $A$5:$A$1500, N85))</f>
        <v/>
      </c>
      <c r="R85" s="111">
        <f>IF(U85=0, "", SUMIFS($H$5:$H$1500, $A$5:$A$1500, N85))</f>
        <v/>
      </c>
      <c r="S85" s="111">
        <f>IF(U85=0, "", SUMIFS($I$5:$I$1500, $A$5:$A$1500, N85))</f>
        <v/>
      </c>
      <c r="T85" s="110">
        <f>IF(U85=0, "", SUMIFS($J$5:$J$1500, $A$5:$A$1500, N85))</f>
        <v/>
      </c>
      <c r="U85" s="112">
        <f>COUNTIFS($A$5:$A$1500, N85)</f>
        <v/>
      </c>
      <c r="V85" s="113">
        <f>IF(U85=0, "CHƯA NHẬP", IF(U85&lt;3, "INCOMPLETE (Chưa đủ bữa)", "COMPLETE (Đầy đủ)"))</f>
        <v/>
      </c>
      <c r="W85" s="114">
        <f>IF(P85="", "", P85/'02_NUTRITION_SETUP'!$C$20)</f>
        <v/>
      </c>
      <c r="X85" s="114">
        <f>IF(Q85="", "", Q85/'02_NUTRITION_SETUP'!$C$21)</f>
        <v/>
      </c>
    </row>
    <row r="86" ht="22" customHeight="1">
      <c r="A86" s="57" t="n"/>
      <c r="B86" s="7" t="n"/>
      <c r="C86" s="58" t="n"/>
      <c r="D86" s="58" t="n"/>
      <c r="E86" s="7" t="n"/>
      <c r="F86" s="106">
        <f>IF(OR(C86="", D86=""), "", IFERROR(VLOOKUP(C86, '03_FOOD_DATABASE'!$B$5:$L$60, 6, FALSE)*D86/100, IFERROR(VLOOKUP(C86, '04_RECIPE_DATABASE'!$B$5:$M$20, 8, FALSE)*D86, 0)))</f>
        <v/>
      </c>
      <c r="G86" s="107">
        <f>IF(OR(C86="", D86=""), "", IFERROR(VLOOKUP(C86, '03_FOOD_DATABASE'!$B$5:$L$60, 7, FALSE)*D86/100, IFERROR(VLOOKUP(C86, '04_RECIPE_DATABASE'!$B$5:$M$20, 9, FALSE)*D86, 0)))</f>
        <v/>
      </c>
      <c r="H86" s="107">
        <f>IF(OR(C86="", D86=""), "", IFERROR(VLOOKUP(C86, '03_FOOD_DATABASE'!$B$5:$L$60, 8, FALSE)*D86/100, IFERROR(VLOOKUP(C86, '04_RECIPE_DATABASE'!$B$5:$M$20, 10, FALSE)*D86, 0)))</f>
        <v/>
      </c>
      <c r="I86" s="107">
        <f>IF(OR(C86="", D86=""), "", IFERROR(VLOOKUP(C86, '03_FOOD_DATABASE'!$B$5:$L$60, 9, FALSE)*D86/100, IFERROR(VLOOKUP(C86, '04_RECIPE_DATABASE'!$B$5:$M$20, 11, FALSE)*D86, 0)))</f>
        <v/>
      </c>
      <c r="J86" s="106">
        <f>IF(OR(C86="", D86=""), "", IFERROR(VLOOKUP(C86, '03_FOOD_DATABASE'!$B$5:$L$60, 11, FALSE)*D86/100, IFERROR(VLOOKUP(C86, '04_RECIPE_DATABASE'!$B$5:$M$20, 12, FALSE)*D86, 0)))</f>
        <v/>
      </c>
      <c r="K86" s="7" t="n"/>
      <c r="L86" s="58" t="n"/>
      <c r="N86" s="108" t="n">
        <v>46395</v>
      </c>
      <c r="O86" s="109">
        <f>TEXT(N86, "dddd")</f>
        <v/>
      </c>
      <c r="P86" s="110">
        <f>IF(U86=0, "", SUMIFS($F$5:$F$1500, $A$5:$A$1500, N86))</f>
        <v/>
      </c>
      <c r="Q86" s="111">
        <f>IF(U86=0, "", SUMIFS($G$5:$G$1500, $A$5:$A$1500, N86))</f>
        <v/>
      </c>
      <c r="R86" s="111">
        <f>IF(U86=0, "", SUMIFS($H$5:$H$1500, $A$5:$A$1500, N86))</f>
        <v/>
      </c>
      <c r="S86" s="111">
        <f>IF(U86=0, "", SUMIFS($I$5:$I$1500, $A$5:$A$1500, N86))</f>
        <v/>
      </c>
      <c r="T86" s="110">
        <f>IF(U86=0, "", SUMIFS($J$5:$J$1500, $A$5:$A$1500, N86))</f>
        <v/>
      </c>
      <c r="U86" s="112">
        <f>COUNTIFS($A$5:$A$1500, N86)</f>
        <v/>
      </c>
      <c r="V86" s="113">
        <f>IF(U86=0, "CHƯA NHẬP", IF(U86&lt;3, "INCOMPLETE (Chưa đủ bữa)", "COMPLETE (Đầy đủ)"))</f>
        <v/>
      </c>
      <c r="W86" s="114">
        <f>IF(P86="", "", P86/'02_NUTRITION_SETUP'!$C$20)</f>
        <v/>
      </c>
      <c r="X86" s="114">
        <f>IF(Q86="", "", Q86/'02_NUTRITION_SETUP'!$C$21)</f>
        <v/>
      </c>
    </row>
    <row r="87" ht="22" customHeight="1">
      <c r="A87" s="57" t="n"/>
      <c r="B87" s="7" t="n"/>
      <c r="C87" s="58" t="n"/>
      <c r="D87" s="58" t="n"/>
      <c r="E87" s="7" t="n"/>
      <c r="F87" s="106">
        <f>IF(OR(C87="", D87=""), "", IFERROR(VLOOKUP(C87, '03_FOOD_DATABASE'!$B$5:$L$60, 6, FALSE)*D87/100, IFERROR(VLOOKUP(C87, '04_RECIPE_DATABASE'!$B$5:$M$20, 8, FALSE)*D87, 0)))</f>
        <v/>
      </c>
      <c r="G87" s="107">
        <f>IF(OR(C87="", D87=""), "", IFERROR(VLOOKUP(C87, '03_FOOD_DATABASE'!$B$5:$L$60, 7, FALSE)*D87/100, IFERROR(VLOOKUP(C87, '04_RECIPE_DATABASE'!$B$5:$M$20, 9, FALSE)*D87, 0)))</f>
        <v/>
      </c>
      <c r="H87" s="107">
        <f>IF(OR(C87="", D87=""), "", IFERROR(VLOOKUP(C87, '03_FOOD_DATABASE'!$B$5:$L$60, 8, FALSE)*D87/100, IFERROR(VLOOKUP(C87, '04_RECIPE_DATABASE'!$B$5:$M$20, 10, FALSE)*D87, 0)))</f>
        <v/>
      </c>
      <c r="I87" s="107">
        <f>IF(OR(C87="", D87=""), "", IFERROR(VLOOKUP(C87, '03_FOOD_DATABASE'!$B$5:$L$60, 9, FALSE)*D87/100, IFERROR(VLOOKUP(C87, '04_RECIPE_DATABASE'!$B$5:$M$20, 11, FALSE)*D87, 0)))</f>
        <v/>
      </c>
      <c r="J87" s="106">
        <f>IF(OR(C87="", D87=""), "", IFERROR(VLOOKUP(C87, '03_FOOD_DATABASE'!$B$5:$L$60, 11, FALSE)*D87/100, IFERROR(VLOOKUP(C87, '04_RECIPE_DATABASE'!$B$5:$M$20, 12, FALSE)*D87, 0)))</f>
        <v/>
      </c>
      <c r="K87" s="7" t="n"/>
      <c r="L87" s="58" t="n"/>
      <c r="N87" s="108" t="n">
        <v>46396</v>
      </c>
      <c r="O87" s="109">
        <f>TEXT(N87, "dddd")</f>
        <v/>
      </c>
      <c r="P87" s="110">
        <f>IF(U87=0, "", SUMIFS($F$5:$F$1500, $A$5:$A$1500, N87))</f>
        <v/>
      </c>
      <c r="Q87" s="111">
        <f>IF(U87=0, "", SUMIFS($G$5:$G$1500, $A$5:$A$1500, N87))</f>
        <v/>
      </c>
      <c r="R87" s="111">
        <f>IF(U87=0, "", SUMIFS($H$5:$H$1500, $A$5:$A$1500, N87))</f>
        <v/>
      </c>
      <c r="S87" s="111">
        <f>IF(U87=0, "", SUMIFS($I$5:$I$1500, $A$5:$A$1500, N87))</f>
        <v/>
      </c>
      <c r="T87" s="110">
        <f>IF(U87=0, "", SUMIFS($J$5:$J$1500, $A$5:$A$1500, N87))</f>
        <v/>
      </c>
      <c r="U87" s="112">
        <f>COUNTIFS($A$5:$A$1500, N87)</f>
        <v/>
      </c>
      <c r="V87" s="113">
        <f>IF(U87=0, "CHƯA NHẬP", IF(U87&lt;3, "INCOMPLETE (Chưa đủ bữa)", "COMPLETE (Đầy đủ)"))</f>
        <v/>
      </c>
      <c r="W87" s="114">
        <f>IF(P87="", "", P87/'02_NUTRITION_SETUP'!$C$20)</f>
        <v/>
      </c>
      <c r="X87" s="114">
        <f>IF(Q87="", "", Q87/'02_NUTRITION_SETUP'!$C$21)</f>
        <v/>
      </c>
    </row>
    <row r="88" ht="22" customHeight="1">
      <c r="A88" s="57" t="n"/>
      <c r="B88" s="7" t="n"/>
      <c r="C88" s="58" t="n"/>
      <c r="D88" s="58" t="n"/>
      <c r="E88" s="7" t="n"/>
      <c r="F88" s="106">
        <f>IF(OR(C88="", D88=""), "", IFERROR(VLOOKUP(C88, '03_FOOD_DATABASE'!$B$5:$L$60, 6, FALSE)*D88/100, IFERROR(VLOOKUP(C88, '04_RECIPE_DATABASE'!$B$5:$M$20, 8, FALSE)*D88, 0)))</f>
        <v/>
      </c>
      <c r="G88" s="107">
        <f>IF(OR(C88="", D88=""), "", IFERROR(VLOOKUP(C88, '03_FOOD_DATABASE'!$B$5:$L$60, 7, FALSE)*D88/100, IFERROR(VLOOKUP(C88, '04_RECIPE_DATABASE'!$B$5:$M$20, 9, FALSE)*D88, 0)))</f>
        <v/>
      </c>
      <c r="H88" s="107">
        <f>IF(OR(C88="", D88=""), "", IFERROR(VLOOKUP(C88, '03_FOOD_DATABASE'!$B$5:$L$60, 8, FALSE)*D88/100, IFERROR(VLOOKUP(C88, '04_RECIPE_DATABASE'!$B$5:$M$20, 10, FALSE)*D88, 0)))</f>
        <v/>
      </c>
      <c r="I88" s="107">
        <f>IF(OR(C88="", D88=""), "", IFERROR(VLOOKUP(C88, '03_FOOD_DATABASE'!$B$5:$L$60, 9, FALSE)*D88/100, IFERROR(VLOOKUP(C88, '04_RECIPE_DATABASE'!$B$5:$M$20, 11, FALSE)*D88, 0)))</f>
        <v/>
      </c>
      <c r="J88" s="106">
        <f>IF(OR(C88="", D88=""), "", IFERROR(VLOOKUP(C88, '03_FOOD_DATABASE'!$B$5:$L$60, 11, FALSE)*D88/100, IFERROR(VLOOKUP(C88, '04_RECIPE_DATABASE'!$B$5:$M$20, 12, FALSE)*D88, 0)))</f>
        <v/>
      </c>
      <c r="K88" s="7" t="n"/>
      <c r="L88" s="58" t="n"/>
      <c r="N88" s="108" t="n">
        <v>46397</v>
      </c>
      <c r="O88" s="109">
        <f>TEXT(N88, "dddd")</f>
        <v/>
      </c>
      <c r="P88" s="110">
        <f>IF(U88=0, "", SUMIFS($F$5:$F$1500, $A$5:$A$1500, N88))</f>
        <v/>
      </c>
      <c r="Q88" s="111">
        <f>IF(U88=0, "", SUMIFS($G$5:$G$1500, $A$5:$A$1500, N88))</f>
        <v/>
      </c>
      <c r="R88" s="111">
        <f>IF(U88=0, "", SUMIFS($H$5:$H$1500, $A$5:$A$1500, N88))</f>
        <v/>
      </c>
      <c r="S88" s="111">
        <f>IF(U88=0, "", SUMIFS($I$5:$I$1500, $A$5:$A$1500, N88))</f>
        <v/>
      </c>
      <c r="T88" s="110">
        <f>IF(U88=0, "", SUMIFS($J$5:$J$1500, $A$5:$A$1500, N88))</f>
        <v/>
      </c>
      <c r="U88" s="112">
        <f>COUNTIFS($A$5:$A$1500, N88)</f>
        <v/>
      </c>
      <c r="V88" s="113">
        <f>IF(U88=0, "CHƯA NHẬP", IF(U88&lt;3, "INCOMPLETE (Chưa đủ bữa)", "COMPLETE (Đầy đủ)"))</f>
        <v/>
      </c>
      <c r="W88" s="114">
        <f>IF(P88="", "", P88/'02_NUTRITION_SETUP'!$C$20)</f>
        <v/>
      </c>
      <c r="X88" s="114">
        <f>IF(Q88="", "", Q88/'02_NUTRITION_SETUP'!$C$21)</f>
        <v/>
      </c>
    </row>
    <row r="89" ht="22" customHeight="1">
      <c r="A89" s="57" t="n"/>
      <c r="B89" s="7" t="n"/>
      <c r="C89" s="58" t="n"/>
      <c r="D89" s="58" t="n"/>
      <c r="E89" s="7" t="n"/>
      <c r="F89" s="106">
        <f>IF(OR(C89="", D89=""), "", IFERROR(VLOOKUP(C89, '03_FOOD_DATABASE'!$B$5:$L$60, 6, FALSE)*D89/100, IFERROR(VLOOKUP(C89, '04_RECIPE_DATABASE'!$B$5:$M$20, 8, FALSE)*D89, 0)))</f>
        <v/>
      </c>
      <c r="G89" s="107">
        <f>IF(OR(C89="", D89=""), "", IFERROR(VLOOKUP(C89, '03_FOOD_DATABASE'!$B$5:$L$60, 7, FALSE)*D89/100, IFERROR(VLOOKUP(C89, '04_RECIPE_DATABASE'!$B$5:$M$20, 9, FALSE)*D89, 0)))</f>
        <v/>
      </c>
      <c r="H89" s="107">
        <f>IF(OR(C89="", D89=""), "", IFERROR(VLOOKUP(C89, '03_FOOD_DATABASE'!$B$5:$L$60, 8, FALSE)*D89/100, IFERROR(VLOOKUP(C89, '04_RECIPE_DATABASE'!$B$5:$M$20, 10, FALSE)*D89, 0)))</f>
        <v/>
      </c>
      <c r="I89" s="107">
        <f>IF(OR(C89="", D89=""), "", IFERROR(VLOOKUP(C89, '03_FOOD_DATABASE'!$B$5:$L$60, 9, FALSE)*D89/100, IFERROR(VLOOKUP(C89, '04_RECIPE_DATABASE'!$B$5:$M$20, 11, FALSE)*D89, 0)))</f>
        <v/>
      </c>
      <c r="J89" s="106">
        <f>IF(OR(C89="", D89=""), "", IFERROR(VLOOKUP(C89, '03_FOOD_DATABASE'!$B$5:$L$60, 11, FALSE)*D89/100, IFERROR(VLOOKUP(C89, '04_RECIPE_DATABASE'!$B$5:$M$20, 12, FALSE)*D89, 0)))</f>
        <v/>
      </c>
      <c r="K89" s="7" t="n"/>
      <c r="L89" s="58" t="n"/>
      <c r="N89" s="108" t="n">
        <v>46398</v>
      </c>
      <c r="O89" s="109">
        <f>TEXT(N89, "dddd")</f>
        <v/>
      </c>
      <c r="P89" s="110">
        <f>IF(U89=0, "", SUMIFS($F$5:$F$1500, $A$5:$A$1500, N89))</f>
        <v/>
      </c>
      <c r="Q89" s="111">
        <f>IF(U89=0, "", SUMIFS($G$5:$G$1500, $A$5:$A$1500, N89))</f>
        <v/>
      </c>
      <c r="R89" s="111">
        <f>IF(U89=0, "", SUMIFS($H$5:$H$1500, $A$5:$A$1500, N89))</f>
        <v/>
      </c>
      <c r="S89" s="111">
        <f>IF(U89=0, "", SUMIFS($I$5:$I$1500, $A$5:$A$1500, N89))</f>
        <v/>
      </c>
      <c r="T89" s="110">
        <f>IF(U89=0, "", SUMIFS($J$5:$J$1500, $A$5:$A$1500, N89))</f>
        <v/>
      </c>
      <c r="U89" s="112">
        <f>COUNTIFS($A$5:$A$1500, N89)</f>
        <v/>
      </c>
      <c r="V89" s="113">
        <f>IF(U89=0, "CHƯA NHẬP", IF(U89&lt;3, "INCOMPLETE (Chưa đủ bữa)", "COMPLETE (Đầy đủ)"))</f>
        <v/>
      </c>
      <c r="W89" s="114">
        <f>IF(P89="", "", P89/'02_NUTRITION_SETUP'!$C$20)</f>
        <v/>
      </c>
      <c r="X89" s="114">
        <f>IF(Q89="", "", Q89/'02_NUTRITION_SETUP'!$C$21)</f>
        <v/>
      </c>
    </row>
    <row r="90" ht="22" customHeight="1">
      <c r="A90" s="57" t="n"/>
      <c r="B90" s="7" t="n"/>
      <c r="C90" s="58" t="n"/>
      <c r="D90" s="58" t="n"/>
      <c r="E90" s="7" t="n"/>
      <c r="F90" s="106">
        <f>IF(OR(C90="", D90=""), "", IFERROR(VLOOKUP(C90, '03_FOOD_DATABASE'!$B$5:$L$60, 6, FALSE)*D90/100, IFERROR(VLOOKUP(C90, '04_RECIPE_DATABASE'!$B$5:$M$20, 8, FALSE)*D90, 0)))</f>
        <v/>
      </c>
      <c r="G90" s="107">
        <f>IF(OR(C90="", D90=""), "", IFERROR(VLOOKUP(C90, '03_FOOD_DATABASE'!$B$5:$L$60, 7, FALSE)*D90/100, IFERROR(VLOOKUP(C90, '04_RECIPE_DATABASE'!$B$5:$M$20, 9, FALSE)*D90, 0)))</f>
        <v/>
      </c>
      <c r="H90" s="107">
        <f>IF(OR(C90="", D90=""), "", IFERROR(VLOOKUP(C90, '03_FOOD_DATABASE'!$B$5:$L$60, 8, FALSE)*D90/100, IFERROR(VLOOKUP(C90, '04_RECIPE_DATABASE'!$B$5:$M$20, 10, FALSE)*D90, 0)))</f>
        <v/>
      </c>
      <c r="I90" s="107">
        <f>IF(OR(C90="", D90=""), "", IFERROR(VLOOKUP(C90, '03_FOOD_DATABASE'!$B$5:$L$60, 9, FALSE)*D90/100, IFERROR(VLOOKUP(C90, '04_RECIPE_DATABASE'!$B$5:$M$20, 11, FALSE)*D90, 0)))</f>
        <v/>
      </c>
      <c r="J90" s="106">
        <f>IF(OR(C90="", D90=""), "", IFERROR(VLOOKUP(C90, '03_FOOD_DATABASE'!$B$5:$L$60, 11, FALSE)*D90/100, IFERROR(VLOOKUP(C90, '04_RECIPE_DATABASE'!$B$5:$M$20, 12, FALSE)*D90, 0)))</f>
        <v/>
      </c>
      <c r="K90" s="7" t="n"/>
      <c r="L90" s="58" t="n"/>
      <c r="N90" s="108" t="n">
        <v>46399</v>
      </c>
      <c r="O90" s="109">
        <f>TEXT(N90, "dddd")</f>
        <v/>
      </c>
      <c r="P90" s="110">
        <f>IF(U90=0, "", SUMIFS($F$5:$F$1500, $A$5:$A$1500, N90))</f>
        <v/>
      </c>
      <c r="Q90" s="111">
        <f>IF(U90=0, "", SUMIFS($G$5:$G$1500, $A$5:$A$1500, N90))</f>
        <v/>
      </c>
      <c r="R90" s="111">
        <f>IF(U90=0, "", SUMIFS($H$5:$H$1500, $A$5:$A$1500, N90))</f>
        <v/>
      </c>
      <c r="S90" s="111">
        <f>IF(U90=0, "", SUMIFS($I$5:$I$1500, $A$5:$A$1500, N90))</f>
        <v/>
      </c>
      <c r="T90" s="110">
        <f>IF(U90=0, "", SUMIFS($J$5:$J$1500, $A$5:$A$1500, N90))</f>
        <v/>
      </c>
      <c r="U90" s="112">
        <f>COUNTIFS($A$5:$A$1500, N90)</f>
        <v/>
      </c>
      <c r="V90" s="113">
        <f>IF(U90=0, "CHƯA NHẬP", IF(U90&lt;3, "INCOMPLETE (Chưa đủ bữa)", "COMPLETE (Đầy đủ)"))</f>
        <v/>
      </c>
      <c r="W90" s="114">
        <f>IF(P90="", "", P90/'02_NUTRITION_SETUP'!$C$20)</f>
        <v/>
      </c>
      <c r="X90" s="114">
        <f>IF(Q90="", "", Q90/'02_NUTRITION_SETUP'!$C$21)</f>
        <v/>
      </c>
    </row>
    <row r="91" ht="22" customHeight="1">
      <c r="A91" s="57" t="n"/>
      <c r="B91" s="7" t="n"/>
      <c r="C91" s="58" t="n"/>
      <c r="D91" s="58" t="n"/>
      <c r="E91" s="7" t="n"/>
      <c r="F91" s="106">
        <f>IF(OR(C91="", D91=""), "", IFERROR(VLOOKUP(C91, '03_FOOD_DATABASE'!$B$5:$L$60, 6, FALSE)*D91/100, IFERROR(VLOOKUP(C91, '04_RECIPE_DATABASE'!$B$5:$M$20, 8, FALSE)*D91, 0)))</f>
        <v/>
      </c>
      <c r="G91" s="107">
        <f>IF(OR(C91="", D91=""), "", IFERROR(VLOOKUP(C91, '03_FOOD_DATABASE'!$B$5:$L$60, 7, FALSE)*D91/100, IFERROR(VLOOKUP(C91, '04_RECIPE_DATABASE'!$B$5:$M$20, 9, FALSE)*D91, 0)))</f>
        <v/>
      </c>
      <c r="H91" s="107">
        <f>IF(OR(C91="", D91=""), "", IFERROR(VLOOKUP(C91, '03_FOOD_DATABASE'!$B$5:$L$60, 8, FALSE)*D91/100, IFERROR(VLOOKUP(C91, '04_RECIPE_DATABASE'!$B$5:$M$20, 10, FALSE)*D91, 0)))</f>
        <v/>
      </c>
      <c r="I91" s="107">
        <f>IF(OR(C91="", D91=""), "", IFERROR(VLOOKUP(C91, '03_FOOD_DATABASE'!$B$5:$L$60, 9, FALSE)*D91/100, IFERROR(VLOOKUP(C91, '04_RECIPE_DATABASE'!$B$5:$M$20, 11, FALSE)*D91, 0)))</f>
        <v/>
      </c>
      <c r="J91" s="106">
        <f>IF(OR(C91="", D91=""), "", IFERROR(VLOOKUP(C91, '03_FOOD_DATABASE'!$B$5:$L$60, 11, FALSE)*D91/100, IFERROR(VLOOKUP(C91, '04_RECIPE_DATABASE'!$B$5:$M$20, 12, FALSE)*D91, 0)))</f>
        <v/>
      </c>
      <c r="K91" s="7" t="n"/>
      <c r="L91" s="58" t="n"/>
      <c r="N91" s="108" t="n">
        <v>46400</v>
      </c>
      <c r="O91" s="109">
        <f>TEXT(N91, "dddd")</f>
        <v/>
      </c>
      <c r="P91" s="110">
        <f>IF(U91=0, "", SUMIFS($F$5:$F$1500, $A$5:$A$1500, N91))</f>
        <v/>
      </c>
      <c r="Q91" s="111">
        <f>IF(U91=0, "", SUMIFS($G$5:$G$1500, $A$5:$A$1500, N91))</f>
        <v/>
      </c>
      <c r="R91" s="111">
        <f>IF(U91=0, "", SUMIFS($H$5:$H$1500, $A$5:$A$1500, N91))</f>
        <v/>
      </c>
      <c r="S91" s="111">
        <f>IF(U91=0, "", SUMIFS($I$5:$I$1500, $A$5:$A$1500, N91))</f>
        <v/>
      </c>
      <c r="T91" s="110">
        <f>IF(U91=0, "", SUMIFS($J$5:$J$1500, $A$5:$A$1500, N91))</f>
        <v/>
      </c>
      <c r="U91" s="112">
        <f>COUNTIFS($A$5:$A$1500, N91)</f>
        <v/>
      </c>
      <c r="V91" s="113">
        <f>IF(U91=0, "CHƯA NHẬP", IF(U91&lt;3, "INCOMPLETE (Chưa đủ bữa)", "COMPLETE (Đầy đủ)"))</f>
        <v/>
      </c>
      <c r="W91" s="114">
        <f>IF(P91="", "", P91/'02_NUTRITION_SETUP'!$C$20)</f>
        <v/>
      </c>
      <c r="X91" s="114">
        <f>IF(Q91="", "", Q91/'02_NUTRITION_SETUP'!$C$21)</f>
        <v/>
      </c>
    </row>
    <row r="92" ht="22" customHeight="1">
      <c r="A92" s="57" t="n"/>
      <c r="B92" s="7" t="n"/>
      <c r="C92" s="58" t="n"/>
      <c r="D92" s="58" t="n"/>
      <c r="E92" s="7" t="n"/>
      <c r="F92" s="106">
        <f>IF(OR(C92="", D92=""), "", IFERROR(VLOOKUP(C92, '03_FOOD_DATABASE'!$B$5:$L$60, 6, FALSE)*D92/100, IFERROR(VLOOKUP(C92, '04_RECIPE_DATABASE'!$B$5:$M$20, 8, FALSE)*D92, 0)))</f>
        <v/>
      </c>
      <c r="G92" s="107">
        <f>IF(OR(C92="", D92=""), "", IFERROR(VLOOKUP(C92, '03_FOOD_DATABASE'!$B$5:$L$60, 7, FALSE)*D92/100, IFERROR(VLOOKUP(C92, '04_RECIPE_DATABASE'!$B$5:$M$20, 9, FALSE)*D92, 0)))</f>
        <v/>
      </c>
      <c r="H92" s="107">
        <f>IF(OR(C92="", D92=""), "", IFERROR(VLOOKUP(C92, '03_FOOD_DATABASE'!$B$5:$L$60, 8, FALSE)*D92/100, IFERROR(VLOOKUP(C92, '04_RECIPE_DATABASE'!$B$5:$M$20, 10, FALSE)*D92, 0)))</f>
        <v/>
      </c>
      <c r="I92" s="107">
        <f>IF(OR(C92="", D92=""), "", IFERROR(VLOOKUP(C92, '03_FOOD_DATABASE'!$B$5:$L$60, 9, FALSE)*D92/100, IFERROR(VLOOKUP(C92, '04_RECIPE_DATABASE'!$B$5:$M$20, 11, FALSE)*D92, 0)))</f>
        <v/>
      </c>
      <c r="J92" s="106">
        <f>IF(OR(C92="", D92=""), "", IFERROR(VLOOKUP(C92, '03_FOOD_DATABASE'!$B$5:$L$60, 11, FALSE)*D92/100, IFERROR(VLOOKUP(C92, '04_RECIPE_DATABASE'!$B$5:$M$20, 12, FALSE)*D92, 0)))</f>
        <v/>
      </c>
      <c r="K92" s="7" t="n"/>
      <c r="L92" s="58" t="n"/>
      <c r="N92" s="108" t="n">
        <v>46401</v>
      </c>
      <c r="O92" s="109">
        <f>TEXT(N92, "dddd")</f>
        <v/>
      </c>
      <c r="P92" s="110">
        <f>IF(U92=0, "", SUMIFS($F$5:$F$1500, $A$5:$A$1500, N92))</f>
        <v/>
      </c>
      <c r="Q92" s="111">
        <f>IF(U92=0, "", SUMIFS($G$5:$G$1500, $A$5:$A$1500, N92))</f>
        <v/>
      </c>
      <c r="R92" s="111">
        <f>IF(U92=0, "", SUMIFS($H$5:$H$1500, $A$5:$A$1500, N92))</f>
        <v/>
      </c>
      <c r="S92" s="111">
        <f>IF(U92=0, "", SUMIFS($I$5:$I$1500, $A$5:$A$1500, N92))</f>
        <v/>
      </c>
      <c r="T92" s="110">
        <f>IF(U92=0, "", SUMIFS($J$5:$J$1500, $A$5:$A$1500, N92))</f>
        <v/>
      </c>
      <c r="U92" s="112">
        <f>COUNTIFS($A$5:$A$1500, N92)</f>
        <v/>
      </c>
      <c r="V92" s="113">
        <f>IF(U92=0, "CHƯA NHẬP", IF(U92&lt;3, "INCOMPLETE (Chưa đủ bữa)", "COMPLETE (Đầy đủ)"))</f>
        <v/>
      </c>
      <c r="W92" s="114">
        <f>IF(P92="", "", P92/'02_NUTRITION_SETUP'!$C$20)</f>
        <v/>
      </c>
      <c r="X92" s="114">
        <f>IF(Q92="", "", Q92/'02_NUTRITION_SETUP'!$C$21)</f>
        <v/>
      </c>
    </row>
    <row r="93" ht="22" customHeight="1">
      <c r="A93" s="57" t="n"/>
      <c r="B93" s="7" t="n"/>
      <c r="C93" s="58" t="n"/>
      <c r="D93" s="58" t="n"/>
      <c r="E93" s="7" t="n"/>
      <c r="F93" s="106">
        <f>IF(OR(C93="", D93=""), "", IFERROR(VLOOKUP(C93, '03_FOOD_DATABASE'!$B$5:$L$60, 6, FALSE)*D93/100, IFERROR(VLOOKUP(C93, '04_RECIPE_DATABASE'!$B$5:$M$20, 8, FALSE)*D93, 0)))</f>
        <v/>
      </c>
      <c r="G93" s="107">
        <f>IF(OR(C93="", D93=""), "", IFERROR(VLOOKUP(C93, '03_FOOD_DATABASE'!$B$5:$L$60, 7, FALSE)*D93/100, IFERROR(VLOOKUP(C93, '04_RECIPE_DATABASE'!$B$5:$M$20, 9, FALSE)*D93, 0)))</f>
        <v/>
      </c>
      <c r="H93" s="107">
        <f>IF(OR(C93="", D93=""), "", IFERROR(VLOOKUP(C93, '03_FOOD_DATABASE'!$B$5:$L$60, 8, FALSE)*D93/100, IFERROR(VLOOKUP(C93, '04_RECIPE_DATABASE'!$B$5:$M$20, 10, FALSE)*D93, 0)))</f>
        <v/>
      </c>
      <c r="I93" s="107">
        <f>IF(OR(C93="", D93=""), "", IFERROR(VLOOKUP(C93, '03_FOOD_DATABASE'!$B$5:$L$60, 9, FALSE)*D93/100, IFERROR(VLOOKUP(C93, '04_RECIPE_DATABASE'!$B$5:$M$20, 11, FALSE)*D93, 0)))</f>
        <v/>
      </c>
      <c r="J93" s="106">
        <f>IF(OR(C93="", D93=""), "", IFERROR(VLOOKUP(C93, '03_FOOD_DATABASE'!$B$5:$L$60, 11, FALSE)*D93/100, IFERROR(VLOOKUP(C93, '04_RECIPE_DATABASE'!$B$5:$M$20, 12, FALSE)*D93, 0)))</f>
        <v/>
      </c>
      <c r="K93" s="7" t="n"/>
      <c r="L93" s="58" t="n"/>
      <c r="N93" s="108" t="n">
        <v>46402</v>
      </c>
      <c r="O93" s="109">
        <f>TEXT(N93, "dddd")</f>
        <v/>
      </c>
      <c r="P93" s="110">
        <f>IF(U93=0, "", SUMIFS($F$5:$F$1500, $A$5:$A$1500, N93))</f>
        <v/>
      </c>
      <c r="Q93" s="111">
        <f>IF(U93=0, "", SUMIFS($G$5:$G$1500, $A$5:$A$1500, N93))</f>
        <v/>
      </c>
      <c r="R93" s="111">
        <f>IF(U93=0, "", SUMIFS($H$5:$H$1500, $A$5:$A$1500, N93))</f>
        <v/>
      </c>
      <c r="S93" s="111">
        <f>IF(U93=0, "", SUMIFS($I$5:$I$1500, $A$5:$A$1500, N93))</f>
        <v/>
      </c>
      <c r="T93" s="110">
        <f>IF(U93=0, "", SUMIFS($J$5:$J$1500, $A$5:$A$1500, N93))</f>
        <v/>
      </c>
      <c r="U93" s="112">
        <f>COUNTIFS($A$5:$A$1500, N93)</f>
        <v/>
      </c>
      <c r="V93" s="113">
        <f>IF(U93=0, "CHƯA NHẬP", IF(U93&lt;3, "INCOMPLETE (Chưa đủ bữa)", "COMPLETE (Đầy đủ)"))</f>
        <v/>
      </c>
      <c r="W93" s="114">
        <f>IF(P93="", "", P93/'02_NUTRITION_SETUP'!$C$20)</f>
        <v/>
      </c>
      <c r="X93" s="114">
        <f>IF(Q93="", "", Q93/'02_NUTRITION_SETUP'!$C$21)</f>
        <v/>
      </c>
    </row>
    <row r="94" ht="22" customHeight="1">
      <c r="A94" s="57" t="n"/>
      <c r="B94" s="7" t="n"/>
      <c r="C94" s="58" t="n"/>
      <c r="D94" s="58" t="n"/>
      <c r="E94" s="7" t="n"/>
      <c r="F94" s="106">
        <f>IF(OR(C94="", D94=""), "", IFERROR(VLOOKUP(C94, '03_FOOD_DATABASE'!$B$5:$L$60, 6, FALSE)*D94/100, IFERROR(VLOOKUP(C94, '04_RECIPE_DATABASE'!$B$5:$M$20, 8, FALSE)*D94, 0)))</f>
        <v/>
      </c>
      <c r="G94" s="107">
        <f>IF(OR(C94="", D94=""), "", IFERROR(VLOOKUP(C94, '03_FOOD_DATABASE'!$B$5:$L$60, 7, FALSE)*D94/100, IFERROR(VLOOKUP(C94, '04_RECIPE_DATABASE'!$B$5:$M$20, 9, FALSE)*D94, 0)))</f>
        <v/>
      </c>
      <c r="H94" s="107">
        <f>IF(OR(C94="", D94=""), "", IFERROR(VLOOKUP(C94, '03_FOOD_DATABASE'!$B$5:$L$60, 8, FALSE)*D94/100, IFERROR(VLOOKUP(C94, '04_RECIPE_DATABASE'!$B$5:$M$20, 10, FALSE)*D94, 0)))</f>
        <v/>
      </c>
      <c r="I94" s="107">
        <f>IF(OR(C94="", D94=""), "", IFERROR(VLOOKUP(C94, '03_FOOD_DATABASE'!$B$5:$L$60, 9, FALSE)*D94/100, IFERROR(VLOOKUP(C94, '04_RECIPE_DATABASE'!$B$5:$M$20, 11, FALSE)*D94, 0)))</f>
        <v/>
      </c>
      <c r="J94" s="106">
        <f>IF(OR(C94="", D94=""), "", IFERROR(VLOOKUP(C94, '03_FOOD_DATABASE'!$B$5:$L$60, 11, FALSE)*D94/100, IFERROR(VLOOKUP(C94, '04_RECIPE_DATABASE'!$B$5:$M$20, 12, FALSE)*D94, 0)))</f>
        <v/>
      </c>
      <c r="K94" s="7" t="n"/>
      <c r="L94" s="58" t="n"/>
      <c r="N94" s="108" t="n">
        <v>46403</v>
      </c>
      <c r="O94" s="109">
        <f>TEXT(N94, "dddd")</f>
        <v/>
      </c>
      <c r="P94" s="110">
        <f>IF(U94=0, "", SUMIFS($F$5:$F$1500, $A$5:$A$1500, N94))</f>
        <v/>
      </c>
      <c r="Q94" s="111">
        <f>IF(U94=0, "", SUMIFS($G$5:$G$1500, $A$5:$A$1500, N94))</f>
        <v/>
      </c>
      <c r="R94" s="111">
        <f>IF(U94=0, "", SUMIFS($H$5:$H$1500, $A$5:$A$1500, N94))</f>
        <v/>
      </c>
      <c r="S94" s="111">
        <f>IF(U94=0, "", SUMIFS($I$5:$I$1500, $A$5:$A$1500, N94))</f>
        <v/>
      </c>
      <c r="T94" s="110">
        <f>IF(U94=0, "", SUMIFS($J$5:$J$1500, $A$5:$A$1500, N94))</f>
        <v/>
      </c>
      <c r="U94" s="112">
        <f>COUNTIFS($A$5:$A$1500, N94)</f>
        <v/>
      </c>
      <c r="V94" s="113">
        <f>IF(U94=0, "CHƯA NHẬP", IF(U94&lt;3, "INCOMPLETE (Chưa đủ bữa)", "COMPLETE (Đầy đủ)"))</f>
        <v/>
      </c>
      <c r="W94" s="114">
        <f>IF(P94="", "", P94/'02_NUTRITION_SETUP'!$C$20)</f>
        <v/>
      </c>
      <c r="X94" s="114">
        <f>IF(Q94="", "", Q94/'02_NUTRITION_SETUP'!$C$21)</f>
        <v/>
      </c>
    </row>
    <row r="95" ht="22" customHeight="1">
      <c r="A95" s="57" t="n"/>
      <c r="B95" s="7" t="n"/>
      <c r="C95" s="58" t="n"/>
      <c r="D95" s="58" t="n"/>
      <c r="E95" s="7" t="n"/>
      <c r="F95" s="106">
        <f>IF(OR(C95="", D95=""), "", IFERROR(VLOOKUP(C95, '03_FOOD_DATABASE'!$B$5:$L$60, 6, FALSE)*D95/100, IFERROR(VLOOKUP(C95, '04_RECIPE_DATABASE'!$B$5:$M$20, 8, FALSE)*D95, 0)))</f>
        <v/>
      </c>
      <c r="G95" s="107">
        <f>IF(OR(C95="", D95=""), "", IFERROR(VLOOKUP(C95, '03_FOOD_DATABASE'!$B$5:$L$60, 7, FALSE)*D95/100, IFERROR(VLOOKUP(C95, '04_RECIPE_DATABASE'!$B$5:$M$20, 9, FALSE)*D95, 0)))</f>
        <v/>
      </c>
      <c r="H95" s="107">
        <f>IF(OR(C95="", D95=""), "", IFERROR(VLOOKUP(C95, '03_FOOD_DATABASE'!$B$5:$L$60, 8, FALSE)*D95/100, IFERROR(VLOOKUP(C95, '04_RECIPE_DATABASE'!$B$5:$M$20, 10, FALSE)*D95, 0)))</f>
        <v/>
      </c>
      <c r="I95" s="107">
        <f>IF(OR(C95="", D95=""), "", IFERROR(VLOOKUP(C95, '03_FOOD_DATABASE'!$B$5:$L$60, 9, FALSE)*D95/100, IFERROR(VLOOKUP(C95, '04_RECIPE_DATABASE'!$B$5:$M$20, 11, FALSE)*D95, 0)))</f>
        <v/>
      </c>
      <c r="J95" s="106">
        <f>IF(OR(C95="", D95=""), "", IFERROR(VLOOKUP(C95, '03_FOOD_DATABASE'!$B$5:$L$60, 11, FALSE)*D95/100, IFERROR(VLOOKUP(C95, '04_RECIPE_DATABASE'!$B$5:$M$20, 12, FALSE)*D95, 0)))</f>
        <v/>
      </c>
      <c r="K95" s="7" t="n"/>
      <c r="L95" s="58" t="n"/>
      <c r="N95" s="108" t="n">
        <v>46404</v>
      </c>
      <c r="O95" s="109">
        <f>TEXT(N95, "dddd")</f>
        <v/>
      </c>
      <c r="P95" s="110">
        <f>IF(U95=0, "", SUMIFS($F$5:$F$1500, $A$5:$A$1500, N95))</f>
        <v/>
      </c>
      <c r="Q95" s="111">
        <f>IF(U95=0, "", SUMIFS($G$5:$G$1500, $A$5:$A$1500, N95))</f>
        <v/>
      </c>
      <c r="R95" s="111">
        <f>IF(U95=0, "", SUMIFS($H$5:$H$1500, $A$5:$A$1500, N95))</f>
        <v/>
      </c>
      <c r="S95" s="111">
        <f>IF(U95=0, "", SUMIFS($I$5:$I$1500, $A$5:$A$1500, N95))</f>
        <v/>
      </c>
      <c r="T95" s="110">
        <f>IF(U95=0, "", SUMIFS($J$5:$J$1500, $A$5:$A$1500, N95))</f>
        <v/>
      </c>
      <c r="U95" s="112">
        <f>COUNTIFS($A$5:$A$1500, N95)</f>
        <v/>
      </c>
      <c r="V95" s="113">
        <f>IF(U95=0, "CHƯA NHẬP", IF(U95&lt;3, "INCOMPLETE (Chưa đủ bữa)", "COMPLETE (Đầy đủ)"))</f>
        <v/>
      </c>
      <c r="W95" s="114">
        <f>IF(P95="", "", P95/'02_NUTRITION_SETUP'!$C$20)</f>
        <v/>
      </c>
      <c r="X95" s="114">
        <f>IF(Q95="", "", Q95/'02_NUTRITION_SETUP'!$C$21)</f>
        <v/>
      </c>
    </row>
    <row r="96" ht="22" customHeight="1">
      <c r="A96" s="57" t="n"/>
      <c r="B96" s="7" t="n"/>
      <c r="C96" s="58" t="n"/>
      <c r="D96" s="58" t="n"/>
      <c r="E96" s="7" t="n"/>
      <c r="F96" s="106">
        <f>IF(OR(C96="", D96=""), "", IFERROR(VLOOKUP(C96, '03_FOOD_DATABASE'!$B$5:$L$60, 6, FALSE)*D96/100, IFERROR(VLOOKUP(C96, '04_RECIPE_DATABASE'!$B$5:$M$20, 8, FALSE)*D96, 0)))</f>
        <v/>
      </c>
      <c r="G96" s="107">
        <f>IF(OR(C96="", D96=""), "", IFERROR(VLOOKUP(C96, '03_FOOD_DATABASE'!$B$5:$L$60, 7, FALSE)*D96/100, IFERROR(VLOOKUP(C96, '04_RECIPE_DATABASE'!$B$5:$M$20, 9, FALSE)*D96, 0)))</f>
        <v/>
      </c>
      <c r="H96" s="107">
        <f>IF(OR(C96="", D96=""), "", IFERROR(VLOOKUP(C96, '03_FOOD_DATABASE'!$B$5:$L$60, 8, FALSE)*D96/100, IFERROR(VLOOKUP(C96, '04_RECIPE_DATABASE'!$B$5:$M$20, 10, FALSE)*D96, 0)))</f>
        <v/>
      </c>
      <c r="I96" s="107">
        <f>IF(OR(C96="", D96=""), "", IFERROR(VLOOKUP(C96, '03_FOOD_DATABASE'!$B$5:$L$60, 9, FALSE)*D96/100, IFERROR(VLOOKUP(C96, '04_RECIPE_DATABASE'!$B$5:$M$20, 11, FALSE)*D96, 0)))</f>
        <v/>
      </c>
      <c r="J96" s="106">
        <f>IF(OR(C96="", D96=""), "", IFERROR(VLOOKUP(C96, '03_FOOD_DATABASE'!$B$5:$L$60, 11, FALSE)*D96/100, IFERROR(VLOOKUP(C96, '04_RECIPE_DATABASE'!$B$5:$M$20, 12, FALSE)*D96, 0)))</f>
        <v/>
      </c>
      <c r="K96" s="7" t="n"/>
      <c r="L96" s="58" t="n"/>
      <c r="N96" s="108" t="n">
        <v>46405</v>
      </c>
      <c r="O96" s="109">
        <f>TEXT(N96, "dddd")</f>
        <v/>
      </c>
      <c r="P96" s="110">
        <f>IF(U96=0, "", SUMIFS($F$5:$F$1500, $A$5:$A$1500, N96))</f>
        <v/>
      </c>
      <c r="Q96" s="111">
        <f>IF(U96=0, "", SUMIFS($G$5:$G$1500, $A$5:$A$1500, N96))</f>
        <v/>
      </c>
      <c r="R96" s="111">
        <f>IF(U96=0, "", SUMIFS($H$5:$H$1500, $A$5:$A$1500, N96))</f>
        <v/>
      </c>
      <c r="S96" s="111">
        <f>IF(U96=0, "", SUMIFS($I$5:$I$1500, $A$5:$A$1500, N96))</f>
        <v/>
      </c>
      <c r="T96" s="110">
        <f>IF(U96=0, "", SUMIFS($J$5:$J$1500, $A$5:$A$1500, N96))</f>
        <v/>
      </c>
      <c r="U96" s="112">
        <f>COUNTIFS($A$5:$A$1500, N96)</f>
        <v/>
      </c>
      <c r="V96" s="113">
        <f>IF(U96=0, "CHƯA NHẬP", IF(U96&lt;3, "INCOMPLETE (Chưa đủ bữa)", "COMPLETE (Đầy đủ)"))</f>
        <v/>
      </c>
      <c r="W96" s="114">
        <f>IF(P96="", "", P96/'02_NUTRITION_SETUP'!$C$20)</f>
        <v/>
      </c>
      <c r="X96" s="114">
        <f>IF(Q96="", "", Q96/'02_NUTRITION_SETUP'!$C$21)</f>
        <v/>
      </c>
    </row>
    <row r="97" ht="22" customHeight="1">
      <c r="A97" s="57" t="n"/>
      <c r="B97" s="7" t="n"/>
      <c r="C97" s="58" t="n"/>
      <c r="D97" s="58" t="n"/>
      <c r="E97" s="7" t="n"/>
      <c r="F97" s="106">
        <f>IF(OR(C97="", D97=""), "", IFERROR(VLOOKUP(C97, '03_FOOD_DATABASE'!$B$5:$L$60, 6, FALSE)*D97/100, IFERROR(VLOOKUP(C97, '04_RECIPE_DATABASE'!$B$5:$M$20, 8, FALSE)*D97, 0)))</f>
        <v/>
      </c>
      <c r="G97" s="107">
        <f>IF(OR(C97="", D97=""), "", IFERROR(VLOOKUP(C97, '03_FOOD_DATABASE'!$B$5:$L$60, 7, FALSE)*D97/100, IFERROR(VLOOKUP(C97, '04_RECIPE_DATABASE'!$B$5:$M$20, 9, FALSE)*D97, 0)))</f>
        <v/>
      </c>
      <c r="H97" s="107">
        <f>IF(OR(C97="", D97=""), "", IFERROR(VLOOKUP(C97, '03_FOOD_DATABASE'!$B$5:$L$60, 8, FALSE)*D97/100, IFERROR(VLOOKUP(C97, '04_RECIPE_DATABASE'!$B$5:$M$20, 10, FALSE)*D97, 0)))</f>
        <v/>
      </c>
      <c r="I97" s="107">
        <f>IF(OR(C97="", D97=""), "", IFERROR(VLOOKUP(C97, '03_FOOD_DATABASE'!$B$5:$L$60, 9, FALSE)*D97/100, IFERROR(VLOOKUP(C97, '04_RECIPE_DATABASE'!$B$5:$M$20, 11, FALSE)*D97, 0)))</f>
        <v/>
      </c>
      <c r="J97" s="106">
        <f>IF(OR(C97="", D97=""), "", IFERROR(VLOOKUP(C97, '03_FOOD_DATABASE'!$B$5:$L$60, 11, FALSE)*D97/100, IFERROR(VLOOKUP(C97, '04_RECIPE_DATABASE'!$B$5:$M$20, 12, FALSE)*D97, 0)))</f>
        <v/>
      </c>
      <c r="K97" s="7" t="n"/>
      <c r="L97" s="58" t="n"/>
      <c r="N97" s="108" t="n">
        <v>46406</v>
      </c>
      <c r="O97" s="109">
        <f>TEXT(N97, "dddd")</f>
        <v/>
      </c>
      <c r="P97" s="110">
        <f>IF(U97=0, "", SUMIFS($F$5:$F$1500, $A$5:$A$1500, N97))</f>
        <v/>
      </c>
      <c r="Q97" s="111">
        <f>IF(U97=0, "", SUMIFS($G$5:$G$1500, $A$5:$A$1500, N97))</f>
        <v/>
      </c>
      <c r="R97" s="111">
        <f>IF(U97=0, "", SUMIFS($H$5:$H$1500, $A$5:$A$1500, N97))</f>
        <v/>
      </c>
      <c r="S97" s="111">
        <f>IF(U97=0, "", SUMIFS($I$5:$I$1500, $A$5:$A$1500, N97))</f>
        <v/>
      </c>
      <c r="T97" s="110">
        <f>IF(U97=0, "", SUMIFS($J$5:$J$1500, $A$5:$A$1500, N97))</f>
        <v/>
      </c>
      <c r="U97" s="112">
        <f>COUNTIFS($A$5:$A$1500, N97)</f>
        <v/>
      </c>
      <c r="V97" s="113">
        <f>IF(U97=0, "CHƯA NHẬP", IF(U97&lt;3, "INCOMPLETE (Chưa đủ bữa)", "COMPLETE (Đầy đủ)"))</f>
        <v/>
      </c>
      <c r="W97" s="114">
        <f>IF(P97="", "", P97/'02_NUTRITION_SETUP'!$C$20)</f>
        <v/>
      </c>
      <c r="X97" s="114">
        <f>IF(Q97="", "", Q97/'02_NUTRITION_SETUP'!$C$21)</f>
        <v/>
      </c>
    </row>
    <row r="98" ht="22" customHeight="1">
      <c r="A98" s="57" t="n"/>
      <c r="B98" s="7" t="n"/>
      <c r="C98" s="58" t="n"/>
      <c r="D98" s="58" t="n"/>
      <c r="E98" s="7" t="n"/>
      <c r="F98" s="106">
        <f>IF(OR(C98="", D98=""), "", IFERROR(VLOOKUP(C98, '03_FOOD_DATABASE'!$B$5:$L$60, 6, FALSE)*D98/100, IFERROR(VLOOKUP(C98, '04_RECIPE_DATABASE'!$B$5:$M$20, 8, FALSE)*D98, 0)))</f>
        <v/>
      </c>
      <c r="G98" s="107">
        <f>IF(OR(C98="", D98=""), "", IFERROR(VLOOKUP(C98, '03_FOOD_DATABASE'!$B$5:$L$60, 7, FALSE)*D98/100, IFERROR(VLOOKUP(C98, '04_RECIPE_DATABASE'!$B$5:$M$20, 9, FALSE)*D98, 0)))</f>
        <v/>
      </c>
      <c r="H98" s="107">
        <f>IF(OR(C98="", D98=""), "", IFERROR(VLOOKUP(C98, '03_FOOD_DATABASE'!$B$5:$L$60, 8, FALSE)*D98/100, IFERROR(VLOOKUP(C98, '04_RECIPE_DATABASE'!$B$5:$M$20, 10, FALSE)*D98, 0)))</f>
        <v/>
      </c>
      <c r="I98" s="107">
        <f>IF(OR(C98="", D98=""), "", IFERROR(VLOOKUP(C98, '03_FOOD_DATABASE'!$B$5:$L$60, 9, FALSE)*D98/100, IFERROR(VLOOKUP(C98, '04_RECIPE_DATABASE'!$B$5:$M$20, 11, FALSE)*D98, 0)))</f>
        <v/>
      </c>
      <c r="J98" s="106">
        <f>IF(OR(C98="", D98=""), "", IFERROR(VLOOKUP(C98, '03_FOOD_DATABASE'!$B$5:$L$60, 11, FALSE)*D98/100, IFERROR(VLOOKUP(C98, '04_RECIPE_DATABASE'!$B$5:$M$20, 12, FALSE)*D98, 0)))</f>
        <v/>
      </c>
      <c r="K98" s="7" t="n"/>
      <c r="L98" s="58" t="n"/>
      <c r="N98" s="108" t="n">
        <v>46407</v>
      </c>
      <c r="O98" s="109">
        <f>TEXT(N98, "dddd")</f>
        <v/>
      </c>
      <c r="P98" s="110">
        <f>IF(U98=0, "", SUMIFS($F$5:$F$1500, $A$5:$A$1500, N98))</f>
        <v/>
      </c>
      <c r="Q98" s="111">
        <f>IF(U98=0, "", SUMIFS($G$5:$G$1500, $A$5:$A$1500, N98))</f>
        <v/>
      </c>
      <c r="R98" s="111">
        <f>IF(U98=0, "", SUMIFS($H$5:$H$1500, $A$5:$A$1500, N98))</f>
        <v/>
      </c>
      <c r="S98" s="111">
        <f>IF(U98=0, "", SUMIFS($I$5:$I$1500, $A$5:$A$1500, N98))</f>
        <v/>
      </c>
      <c r="T98" s="110">
        <f>IF(U98=0, "", SUMIFS($J$5:$J$1500, $A$5:$A$1500, N98))</f>
        <v/>
      </c>
      <c r="U98" s="112">
        <f>COUNTIFS($A$5:$A$1500, N98)</f>
        <v/>
      </c>
      <c r="V98" s="113">
        <f>IF(U98=0, "CHƯA NHẬP", IF(U98&lt;3, "INCOMPLETE (Chưa đủ bữa)", "COMPLETE (Đầy đủ)"))</f>
        <v/>
      </c>
      <c r="W98" s="114">
        <f>IF(P98="", "", P98/'02_NUTRITION_SETUP'!$C$20)</f>
        <v/>
      </c>
      <c r="X98" s="114">
        <f>IF(Q98="", "", Q98/'02_NUTRITION_SETUP'!$C$21)</f>
        <v/>
      </c>
    </row>
    <row r="99" ht="22" customHeight="1">
      <c r="A99" s="57" t="n"/>
      <c r="B99" s="7" t="n"/>
      <c r="C99" s="58" t="n"/>
      <c r="D99" s="58" t="n"/>
      <c r="E99" s="7" t="n"/>
      <c r="F99" s="106">
        <f>IF(OR(C99="", D99=""), "", IFERROR(VLOOKUP(C99, '03_FOOD_DATABASE'!$B$5:$L$60, 6, FALSE)*D99/100, IFERROR(VLOOKUP(C99, '04_RECIPE_DATABASE'!$B$5:$M$20, 8, FALSE)*D99, 0)))</f>
        <v/>
      </c>
      <c r="G99" s="107">
        <f>IF(OR(C99="", D99=""), "", IFERROR(VLOOKUP(C99, '03_FOOD_DATABASE'!$B$5:$L$60, 7, FALSE)*D99/100, IFERROR(VLOOKUP(C99, '04_RECIPE_DATABASE'!$B$5:$M$20, 9, FALSE)*D99, 0)))</f>
        <v/>
      </c>
      <c r="H99" s="107">
        <f>IF(OR(C99="", D99=""), "", IFERROR(VLOOKUP(C99, '03_FOOD_DATABASE'!$B$5:$L$60, 8, FALSE)*D99/100, IFERROR(VLOOKUP(C99, '04_RECIPE_DATABASE'!$B$5:$M$20, 10, FALSE)*D99, 0)))</f>
        <v/>
      </c>
      <c r="I99" s="107">
        <f>IF(OR(C99="", D99=""), "", IFERROR(VLOOKUP(C99, '03_FOOD_DATABASE'!$B$5:$L$60, 9, FALSE)*D99/100, IFERROR(VLOOKUP(C99, '04_RECIPE_DATABASE'!$B$5:$M$20, 11, FALSE)*D99, 0)))</f>
        <v/>
      </c>
      <c r="J99" s="106">
        <f>IF(OR(C99="", D99=""), "", IFERROR(VLOOKUP(C99, '03_FOOD_DATABASE'!$B$5:$L$60, 11, FALSE)*D99/100, IFERROR(VLOOKUP(C99, '04_RECIPE_DATABASE'!$B$5:$M$20, 12, FALSE)*D99, 0)))</f>
        <v/>
      </c>
      <c r="K99" s="7" t="n"/>
      <c r="L99" s="58" t="n"/>
      <c r="N99" s="108" t="n">
        <v>46408</v>
      </c>
      <c r="O99" s="109">
        <f>TEXT(N99, "dddd")</f>
        <v/>
      </c>
      <c r="P99" s="110">
        <f>IF(U99=0, "", SUMIFS($F$5:$F$1500, $A$5:$A$1500, N99))</f>
        <v/>
      </c>
      <c r="Q99" s="111">
        <f>IF(U99=0, "", SUMIFS($G$5:$G$1500, $A$5:$A$1500, N99))</f>
        <v/>
      </c>
      <c r="R99" s="111">
        <f>IF(U99=0, "", SUMIFS($H$5:$H$1500, $A$5:$A$1500, N99))</f>
        <v/>
      </c>
      <c r="S99" s="111">
        <f>IF(U99=0, "", SUMIFS($I$5:$I$1500, $A$5:$A$1500, N99))</f>
        <v/>
      </c>
      <c r="T99" s="110">
        <f>IF(U99=0, "", SUMIFS($J$5:$J$1500, $A$5:$A$1500, N99))</f>
        <v/>
      </c>
      <c r="U99" s="112">
        <f>COUNTIFS($A$5:$A$1500, N99)</f>
        <v/>
      </c>
      <c r="V99" s="113">
        <f>IF(U99=0, "CHƯA NHẬP", IF(U99&lt;3, "INCOMPLETE (Chưa đủ bữa)", "COMPLETE (Đầy đủ)"))</f>
        <v/>
      </c>
      <c r="W99" s="114">
        <f>IF(P99="", "", P99/'02_NUTRITION_SETUP'!$C$20)</f>
        <v/>
      </c>
      <c r="X99" s="114">
        <f>IF(Q99="", "", Q99/'02_NUTRITION_SETUP'!$C$21)</f>
        <v/>
      </c>
    </row>
    <row r="100" ht="22" customHeight="1">
      <c r="A100" s="57" t="n"/>
      <c r="B100" s="7" t="n"/>
      <c r="C100" s="58" t="n"/>
      <c r="D100" s="58" t="n"/>
      <c r="E100" s="7" t="n"/>
      <c r="F100" s="106">
        <f>IF(OR(C100="", D100=""), "", IFERROR(VLOOKUP(C100, '03_FOOD_DATABASE'!$B$5:$L$60, 6, FALSE)*D100/100, IFERROR(VLOOKUP(C100, '04_RECIPE_DATABASE'!$B$5:$M$20, 8, FALSE)*D100, 0)))</f>
        <v/>
      </c>
      <c r="G100" s="107">
        <f>IF(OR(C100="", D100=""), "", IFERROR(VLOOKUP(C100, '03_FOOD_DATABASE'!$B$5:$L$60, 7, FALSE)*D100/100, IFERROR(VLOOKUP(C100, '04_RECIPE_DATABASE'!$B$5:$M$20, 9, FALSE)*D100, 0)))</f>
        <v/>
      </c>
      <c r="H100" s="107">
        <f>IF(OR(C100="", D100=""), "", IFERROR(VLOOKUP(C100, '03_FOOD_DATABASE'!$B$5:$L$60, 8, FALSE)*D100/100, IFERROR(VLOOKUP(C100, '04_RECIPE_DATABASE'!$B$5:$M$20, 10, FALSE)*D100, 0)))</f>
        <v/>
      </c>
      <c r="I100" s="107">
        <f>IF(OR(C100="", D100=""), "", IFERROR(VLOOKUP(C100, '03_FOOD_DATABASE'!$B$5:$L$60, 9, FALSE)*D100/100, IFERROR(VLOOKUP(C100, '04_RECIPE_DATABASE'!$B$5:$M$20, 11, FALSE)*D100, 0)))</f>
        <v/>
      </c>
      <c r="J100" s="106">
        <f>IF(OR(C100="", D100=""), "", IFERROR(VLOOKUP(C100, '03_FOOD_DATABASE'!$B$5:$L$60, 11, FALSE)*D100/100, IFERROR(VLOOKUP(C100, '04_RECIPE_DATABASE'!$B$5:$M$20, 12, FALSE)*D100, 0)))</f>
        <v/>
      </c>
      <c r="K100" s="7" t="n"/>
      <c r="L100" s="58" t="n"/>
      <c r="N100" s="108" t="n">
        <v>46409</v>
      </c>
      <c r="O100" s="109">
        <f>TEXT(N100, "dddd")</f>
        <v/>
      </c>
      <c r="P100" s="110">
        <f>IF(U100=0, "", SUMIFS($F$5:$F$1500, $A$5:$A$1500, N100))</f>
        <v/>
      </c>
      <c r="Q100" s="111">
        <f>IF(U100=0, "", SUMIFS($G$5:$G$1500, $A$5:$A$1500, N100))</f>
        <v/>
      </c>
      <c r="R100" s="111">
        <f>IF(U100=0, "", SUMIFS($H$5:$H$1500, $A$5:$A$1500, N100))</f>
        <v/>
      </c>
      <c r="S100" s="111">
        <f>IF(U100=0, "", SUMIFS($I$5:$I$1500, $A$5:$A$1500, N100))</f>
        <v/>
      </c>
      <c r="T100" s="110">
        <f>IF(U100=0, "", SUMIFS($J$5:$J$1500, $A$5:$A$1500, N100))</f>
        <v/>
      </c>
      <c r="U100" s="112">
        <f>COUNTIFS($A$5:$A$1500, N100)</f>
        <v/>
      </c>
      <c r="V100" s="113">
        <f>IF(U100=0, "CHƯA NHẬP", IF(U100&lt;3, "INCOMPLETE (Chưa đủ bữa)", "COMPLETE (Đầy đủ)"))</f>
        <v/>
      </c>
      <c r="W100" s="114">
        <f>IF(P100="", "", P100/'02_NUTRITION_SETUP'!$C$20)</f>
        <v/>
      </c>
      <c r="X100" s="114">
        <f>IF(Q100="", "", Q100/'02_NUTRITION_SETUP'!$C$21)</f>
        <v/>
      </c>
    </row>
    <row r="101" ht="22" customHeight="1">
      <c r="A101" s="57" t="n"/>
      <c r="B101" s="7" t="n"/>
      <c r="C101" s="58" t="n"/>
      <c r="D101" s="58" t="n"/>
      <c r="E101" s="7" t="n"/>
      <c r="F101" s="106">
        <f>IF(OR(C101="", D101=""), "", IFERROR(VLOOKUP(C101, '03_FOOD_DATABASE'!$B$5:$L$60, 6, FALSE)*D101/100, IFERROR(VLOOKUP(C101, '04_RECIPE_DATABASE'!$B$5:$M$20, 8, FALSE)*D101, 0)))</f>
        <v/>
      </c>
      <c r="G101" s="107">
        <f>IF(OR(C101="", D101=""), "", IFERROR(VLOOKUP(C101, '03_FOOD_DATABASE'!$B$5:$L$60, 7, FALSE)*D101/100, IFERROR(VLOOKUP(C101, '04_RECIPE_DATABASE'!$B$5:$M$20, 9, FALSE)*D101, 0)))</f>
        <v/>
      </c>
      <c r="H101" s="107">
        <f>IF(OR(C101="", D101=""), "", IFERROR(VLOOKUP(C101, '03_FOOD_DATABASE'!$B$5:$L$60, 8, FALSE)*D101/100, IFERROR(VLOOKUP(C101, '04_RECIPE_DATABASE'!$B$5:$M$20, 10, FALSE)*D101, 0)))</f>
        <v/>
      </c>
      <c r="I101" s="107">
        <f>IF(OR(C101="", D101=""), "", IFERROR(VLOOKUP(C101, '03_FOOD_DATABASE'!$B$5:$L$60, 9, FALSE)*D101/100, IFERROR(VLOOKUP(C101, '04_RECIPE_DATABASE'!$B$5:$M$20, 11, FALSE)*D101, 0)))</f>
        <v/>
      </c>
      <c r="J101" s="106">
        <f>IF(OR(C101="", D101=""), "", IFERROR(VLOOKUP(C101, '03_FOOD_DATABASE'!$B$5:$L$60, 11, FALSE)*D101/100, IFERROR(VLOOKUP(C101, '04_RECIPE_DATABASE'!$B$5:$M$20, 12, FALSE)*D101, 0)))</f>
        <v/>
      </c>
      <c r="K101" s="7" t="n"/>
      <c r="L101" s="58" t="n"/>
      <c r="N101" s="108" t="n">
        <v>46410</v>
      </c>
      <c r="O101" s="109">
        <f>TEXT(N101, "dddd")</f>
        <v/>
      </c>
      <c r="P101" s="110">
        <f>IF(U101=0, "", SUMIFS($F$5:$F$1500, $A$5:$A$1500, N101))</f>
        <v/>
      </c>
      <c r="Q101" s="111">
        <f>IF(U101=0, "", SUMIFS($G$5:$G$1500, $A$5:$A$1500, N101))</f>
        <v/>
      </c>
      <c r="R101" s="111">
        <f>IF(U101=0, "", SUMIFS($H$5:$H$1500, $A$5:$A$1500, N101))</f>
        <v/>
      </c>
      <c r="S101" s="111">
        <f>IF(U101=0, "", SUMIFS($I$5:$I$1500, $A$5:$A$1500, N101))</f>
        <v/>
      </c>
      <c r="T101" s="110">
        <f>IF(U101=0, "", SUMIFS($J$5:$J$1500, $A$5:$A$1500, N101))</f>
        <v/>
      </c>
      <c r="U101" s="112">
        <f>COUNTIFS($A$5:$A$1500, N101)</f>
        <v/>
      </c>
      <c r="V101" s="113">
        <f>IF(U101=0, "CHƯA NHẬP", IF(U101&lt;3, "INCOMPLETE (Chưa đủ bữa)", "COMPLETE (Đầy đủ)"))</f>
        <v/>
      </c>
      <c r="W101" s="114">
        <f>IF(P101="", "", P101/'02_NUTRITION_SETUP'!$C$20)</f>
        <v/>
      </c>
      <c r="X101" s="114">
        <f>IF(Q101="", "", Q101/'02_NUTRITION_SETUP'!$C$21)</f>
        <v/>
      </c>
    </row>
    <row r="102" ht="22" customHeight="1">
      <c r="A102" s="57" t="n"/>
      <c r="B102" s="7" t="n"/>
      <c r="C102" s="58" t="n"/>
      <c r="D102" s="58" t="n"/>
      <c r="E102" s="7" t="n"/>
      <c r="F102" s="106">
        <f>IF(OR(C102="", D102=""), "", IFERROR(VLOOKUP(C102, '03_FOOD_DATABASE'!$B$5:$L$60, 6, FALSE)*D102/100, IFERROR(VLOOKUP(C102, '04_RECIPE_DATABASE'!$B$5:$M$20, 8, FALSE)*D102, 0)))</f>
        <v/>
      </c>
      <c r="G102" s="107">
        <f>IF(OR(C102="", D102=""), "", IFERROR(VLOOKUP(C102, '03_FOOD_DATABASE'!$B$5:$L$60, 7, FALSE)*D102/100, IFERROR(VLOOKUP(C102, '04_RECIPE_DATABASE'!$B$5:$M$20, 9, FALSE)*D102, 0)))</f>
        <v/>
      </c>
      <c r="H102" s="107">
        <f>IF(OR(C102="", D102=""), "", IFERROR(VLOOKUP(C102, '03_FOOD_DATABASE'!$B$5:$L$60, 8, FALSE)*D102/100, IFERROR(VLOOKUP(C102, '04_RECIPE_DATABASE'!$B$5:$M$20, 10, FALSE)*D102, 0)))</f>
        <v/>
      </c>
      <c r="I102" s="107">
        <f>IF(OR(C102="", D102=""), "", IFERROR(VLOOKUP(C102, '03_FOOD_DATABASE'!$B$5:$L$60, 9, FALSE)*D102/100, IFERROR(VLOOKUP(C102, '04_RECIPE_DATABASE'!$B$5:$M$20, 11, FALSE)*D102, 0)))</f>
        <v/>
      </c>
      <c r="J102" s="106">
        <f>IF(OR(C102="", D102=""), "", IFERROR(VLOOKUP(C102, '03_FOOD_DATABASE'!$B$5:$L$60, 11, FALSE)*D102/100, IFERROR(VLOOKUP(C102, '04_RECIPE_DATABASE'!$B$5:$M$20, 12, FALSE)*D102, 0)))</f>
        <v/>
      </c>
      <c r="K102" s="7" t="n"/>
      <c r="L102" s="58" t="n"/>
      <c r="N102" s="108" t="n">
        <v>46411</v>
      </c>
      <c r="O102" s="109">
        <f>TEXT(N102, "dddd")</f>
        <v/>
      </c>
      <c r="P102" s="110">
        <f>IF(U102=0, "", SUMIFS($F$5:$F$1500, $A$5:$A$1500, N102))</f>
        <v/>
      </c>
      <c r="Q102" s="111">
        <f>IF(U102=0, "", SUMIFS($G$5:$G$1500, $A$5:$A$1500, N102))</f>
        <v/>
      </c>
      <c r="R102" s="111">
        <f>IF(U102=0, "", SUMIFS($H$5:$H$1500, $A$5:$A$1500, N102))</f>
        <v/>
      </c>
      <c r="S102" s="111">
        <f>IF(U102=0, "", SUMIFS($I$5:$I$1500, $A$5:$A$1500, N102))</f>
        <v/>
      </c>
      <c r="T102" s="110">
        <f>IF(U102=0, "", SUMIFS($J$5:$J$1500, $A$5:$A$1500, N102))</f>
        <v/>
      </c>
      <c r="U102" s="112">
        <f>COUNTIFS($A$5:$A$1500, N102)</f>
        <v/>
      </c>
      <c r="V102" s="113">
        <f>IF(U102=0, "CHƯA NHẬP", IF(U102&lt;3, "INCOMPLETE (Chưa đủ bữa)", "COMPLETE (Đầy đủ)"))</f>
        <v/>
      </c>
      <c r="W102" s="114">
        <f>IF(P102="", "", P102/'02_NUTRITION_SETUP'!$C$20)</f>
        <v/>
      </c>
      <c r="X102" s="114">
        <f>IF(Q102="", "", Q102/'02_NUTRITION_SETUP'!$C$21)</f>
        <v/>
      </c>
    </row>
    <row r="103" ht="22" customHeight="1">
      <c r="A103" s="57" t="n"/>
      <c r="B103" s="7" t="n"/>
      <c r="C103" s="58" t="n"/>
      <c r="D103" s="58" t="n"/>
      <c r="E103" s="7" t="n"/>
      <c r="F103" s="106">
        <f>IF(OR(C103="", D103=""), "", IFERROR(VLOOKUP(C103, '03_FOOD_DATABASE'!$B$5:$L$60, 6, FALSE)*D103/100, IFERROR(VLOOKUP(C103, '04_RECIPE_DATABASE'!$B$5:$M$20, 8, FALSE)*D103, 0)))</f>
        <v/>
      </c>
      <c r="G103" s="107">
        <f>IF(OR(C103="", D103=""), "", IFERROR(VLOOKUP(C103, '03_FOOD_DATABASE'!$B$5:$L$60, 7, FALSE)*D103/100, IFERROR(VLOOKUP(C103, '04_RECIPE_DATABASE'!$B$5:$M$20, 9, FALSE)*D103, 0)))</f>
        <v/>
      </c>
      <c r="H103" s="107">
        <f>IF(OR(C103="", D103=""), "", IFERROR(VLOOKUP(C103, '03_FOOD_DATABASE'!$B$5:$L$60, 8, FALSE)*D103/100, IFERROR(VLOOKUP(C103, '04_RECIPE_DATABASE'!$B$5:$M$20, 10, FALSE)*D103, 0)))</f>
        <v/>
      </c>
      <c r="I103" s="107">
        <f>IF(OR(C103="", D103=""), "", IFERROR(VLOOKUP(C103, '03_FOOD_DATABASE'!$B$5:$L$60, 9, FALSE)*D103/100, IFERROR(VLOOKUP(C103, '04_RECIPE_DATABASE'!$B$5:$M$20, 11, FALSE)*D103, 0)))</f>
        <v/>
      </c>
      <c r="J103" s="106">
        <f>IF(OR(C103="", D103=""), "", IFERROR(VLOOKUP(C103, '03_FOOD_DATABASE'!$B$5:$L$60, 11, FALSE)*D103/100, IFERROR(VLOOKUP(C103, '04_RECIPE_DATABASE'!$B$5:$M$20, 12, FALSE)*D103, 0)))</f>
        <v/>
      </c>
      <c r="K103" s="7" t="n"/>
      <c r="L103" s="58" t="n"/>
      <c r="N103" s="108" t="n">
        <v>46412</v>
      </c>
      <c r="O103" s="109">
        <f>TEXT(N103, "dddd")</f>
        <v/>
      </c>
      <c r="P103" s="110">
        <f>IF(U103=0, "", SUMIFS($F$5:$F$1500, $A$5:$A$1500, N103))</f>
        <v/>
      </c>
      <c r="Q103" s="111">
        <f>IF(U103=0, "", SUMIFS($G$5:$G$1500, $A$5:$A$1500, N103))</f>
        <v/>
      </c>
      <c r="R103" s="111">
        <f>IF(U103=0, "", SUMIFS($H$5:$H$1500, $A$5:$A$1500, N103))</f>
        <v/>
      </c>
      <c r="S103" s="111">
        <f>IF(U103=0, "", SUMIFS($I$5:$I$1500, $A$5:$A$1500, N103))</f>
        <v/>
      </c>
      <c r="T103" s="110">
        <f>IF(U103=0, "", SUMIFS($J$5:$J$1500, $A$5:$A$1500, N103))</f>
        <v/>
      </c>
      <c r="U103" s="112">
        <f>COUNTIFS($A$5:$A$1500, N103)</f>
        <v/>
      </c>
      <c r="V103" s="113">
        <f>IF(U103=0, "CHƯA NHẬP", IF(U103&lt;3, "INCOMPLETE (Chưa đủ bữa)", "COMPLETE (Đầy đủ)"))</f>
        <v/>
      </c>
      <c r="W103" s="114">
        <f>IF(P103="", "", P103/'02_NUTRITION_SETUP'!$C$20)</f>
        <v/>
      </c>
      <c r="X103" s="114">
        <f>IF(Q103="", "", Q103/'02_NUTRITION_SETUP'!$C$21)</f>
        <v/>
      </c>
    </row>
    <row r="104" ht="22" customHeight="1">
      <c r="A104" s="57" t="n"/>
      <c r="B104" s="7" t="n"/>
      <c r="C104" s="58" t="n"/>
      <c r="D104" s="58" t="n"/>
      <c r="E104" s="7" t="n"/>
      <c r="F104" s="106">
        <f>IF(OR(C104="", D104=""), "", IFERROR(VLOOKUP(C104, '03_FOOD_DATABASE'!$B$5:$L$60, 6, FALSE)*D104/100, IFERROR(VLOOKUP(C104, '04_RECIPE_DATABASE'!$B$5:$M$20, 8, FALSE)*D104, 0)))</f>
        <v/>
      </c>
      <c r="G104" s="107">
        <f>IF(OR(C104="", D104=""), "", IFERROR(VLOOKUP(C104, '03_FOOD_DATABASE'!$B$5:$L$60, 7, FALSE)*D104/100, IFERROR(VLOOKUP(C104, '04_RECIPE_DATABASE'!$B$5:$M$20, 9, FALSE)*D104, 0)))</f>
        <v/>
      </c>
      <c r="H104" s="107">
        <f>IF(OR(C104="", D104=""), "", IFERROR(VLOOKUP(C104, '03_FOOD_DATABASE'!$B$5:$L$60, 8, FALSE)*D104/100, IFERROR(VLOOKUP(C104, '04_RECIPE_DATABASE'!$B$5:$M$20, 10, FALSE)*D104, 0)))</f>
        <v/>
      </c>
      <c r="I104" s="107">
        <f>IF(OR(C104="", D104=""), "", IFERROR(VLOOKUP(C104, '03_FOOD_DATABASE'!$B$5:$L$60, 9, FALSE)*D104/100, IFERROR(VLOOKUP(C104, '04_RECIPE_DATABASE'!$B$5:$M$20, 11, FALSE)*D104, 0)))</f>
        <v/>
      </c>
      <c r="J104" s="106">
        <f>IF(OR(C104="", D104=""), "", IFERROR(VLOOKUP(C104, '03_FOOD_DATABASE'!$B$5:$L$60, 11, FALSE)*D104/100, IFERROR(VLOOKUP(C104, '04_RECIPE_DATABASE'!$B$5:$M$20, 12, FALSE)*D104, 0)))</f>
        <v/>
      </c>
      <c r="K104" s="7" t="n"/>
      <c r="L104" s="58" t="n"/>
      <c r="N104" s="108" t="n">
        <v>46413</v>
      </c>
      <c r="O104" s="109">
        <f>TEXT(N104, "dddd")</f>
        <v/>
      </c>
      <c r="P104" s="110">
        <f>IF(U104=0, "", SUMIFS($F$5:$F$1500, $A$5:$A$1500, N104))</f>
        <v/>
      </c>
      <c r="Q104" s="111">
        <f>IF(U104=0, "", SUMIFS($G$5:$G$1500, $A$5:$A$1500, N104))</f>
        <v/>
      </c>
      <c r="R104" s="111">
        <f>IF(U104=0, "", SUMIFS($H$5:$H$1500, $A$5:$A$1500, N104))</f>
        <v/>
      </c>
      <c r="S104" s="111">
        <f>IF(U104=0, "", SUMIFS($I$5:$I$1500, $A$5:$A$1500, N104))</f>
        <v/>
      </c>
      <c r="T104" s="110">
        <f>IF(U104=0, "", SUMIFS($J$5:$J$1500, $A$5:$A$1500, N104))</f>
        <v/>
      </c>
      <c r="U104" s="112">
        <f>COUNTIFS($A$5:$A$1500, N104)</f>
        <v/>
      </c>
      <c r="V104" s="113">
        <f>IF(U104=0, "CHƯA NHẬP", IF(U104&lt;3, "INCOMPLETE (Chưa đủ bữa)", "COMPLETE (Đầy đủ)"))</f>
        <v/>
      </c>
      <c r="W104" s="114">
        <f>IF(P104="", "", P104/'02_NUTRITION_SETUP'!$C$20)</f>
        <v/>
      </c>
      <c r="X104" s="114">
        <f>IF(Q104="", "", Q104/'02_NUTRITION_SETUP'!$C$21)</f>
        <v/>
      </c>
    </row>
    <row r="105" ht="22" customHeight="1">
      <c r="A105" s="57" t="n"/>
      <c r="B105" s="7" t="n"/>
      <c r="C105" s="58" t="n"/>
      <c r="D105" s="58" t="n"/>
      <c r="E105" s="7" t="n"/>
      <c r="F105" s="106">
        <f>IF(OR(C105="", D105=""), "", IFERROR(VLOOKUP(C105, '03_FOOD_DATABASE'!$B$5:$L$60, 6, FALSE)*D105/100, IFERROR(VLOOKUP(C105, '04_RECIPE_DATABASE'!$B$5:$M$20, 8, FALSE)*D105, 0)))</f>
        <v/>
      </c>
      <c r="G105" s="107">
        <f>IF(OR(C105="", D105=""), "", IFERROR(VLOOKUP(C105, '03_FOOD_DATABASE'!$B$5:$L$60, 7, FALSE)*D105/100, IFERROR(VLOOKUP(C105, '04_RECIPE_DATABASE'!$B$5:$M$20, 9, FALSE)*D105, 0)))</f>
        <v/>
      </c>
      <c r="H105" s="107">
        <f>IF(OR(C105="", D105=""), "", IFERROR(VLOOKUP(C105, '03_FOOD_DATABASE'!$B$5:$L$60, 8, FALSE)*D105/100, IFERROR(VLOOKUP(C105, '04_RECIPE_DATABASE'!$B$5:$M$20, 10, FALSE)*D105, 0)))</f>
        <v/>
      </c>
      <c r="I105" s="107">
        <f>IF(OR(C105="", D105=""), "", IFERROR(VLOOKUP(C105, '03_FOOD_DATABASE'!$B$5:$L$60, 9, FALSE)*D105/100, IFERROR(VLOOKUP(C105, '04_RECIPE_DATABASE'!$B$5:$M$20, 11, FALSE)*D105, 0)))</f>
        <v/>
      </c>
      <c r="J105" s="106">
        <f>IF(OR(C105="", D105=""), "", IFERROR(VLOOKUP(C105, '03_FOOD_DATABASE'!$B$5:$L$60, 11, FALSE)*D105/100, IFERROR(VLOOKUP(C105, '04_RECIPE_DATABASE'!$B$5:$M$20, 12, FALSE)*D105, 0)))</f>
        <v/>
      </c>
      <c r="K105" s="7" t="n"/>
      <c r="L105" s="58" t="n"/>
      <c r="N105" s="108" t="n">
        <v>46414</v>
      </c>
      <c r="O105" s="109">
        <f>TEXT(N105, "dddd")</f>
        <v/>
      </c>
      <c r="P105" s="110">
        <f>IF(U105=0, "", SUMIFS($F$5:$F$1500, $A$5:$A$1500, N105))</f>
        <v/>
      </c>
      <c r="Q105" s="111">
        <f>IF(U105=0, "", SUMIFS($G$5:$G$1500, $A$5:$A$1500, N105))</f>
        <v/>
      </c>
      <c r="R105" s="111">
        <f>IF(U105=0, "", SUMIFS($H$5:$H$1500, $A$5:$A$1500, N105))</f>
        <v/>
      </c>
      <c r="S105" s="111">
        <f>IF(U105=0, "", SUMIFS($I$5:$I$1500, $A$5:$A$1500, N105))</f>
        <v/>
      </c>
      <c r="T105" s="110">
        <f>IF(U105=0, "", SUMIFS($J$5:$J$1500, $A$5:$A$1500, N105))</f>
        <v/>
      </c>
      <c r="U105" s="112">
        <f>COUNTIFS($A$5:$A$1500, N105)</f>
        <v/>
      </c>
      <c r="V105" s="113">
        <f>IF(U105=0, "CHƯA NHẬP", IF(U105&lt;3, "INCOMPLETE (Chưa đủ bữa)", "COMPLETE (Đầy đủ)"))</f>
        <v/>
      </c>
      <c r="W105" s="114">
        <f>IF(P105="", "", P105/'02_NUTRITION_SETUP'!$C$20)</f>
        <v/>
      </c>
      <c r="X105" s="114">
        <f>IF(Q105="", "", Q105/'02_NUTRITION_SETUP'!$C$21)</f>
        <v/>
      </c>
    </row>
    <row r="106" ht="22" customHeight="1">
      <c r="A106" s="57" t="n"/>
      <c r="B106" s="7" t="n"/>
      <c r="C106" s="58" t="n"/>
      <c r="D106" s="58" t="n"/>
      <c r="E106" s="7" t="n"/>
      <c r="F106" s="106">
        <f>IF(OR(C106="", D106=""), "", IFERROR(VLOOKUP(C106, '03_FOOD_DATABASE'!$B$5:$L$60, 6, FALSE)*D106/100, IFERROR(VLOOKUP(C106, '04_RECIPE_DATABASE'!$B$5:$M$20, 8, FALSE)*D106, 0)))</f>
        <v/>
      </c>
      <c r="G106" s="107">
        <f>IF(OR(C106="", D106=""), "", IFERROR(VLOOKUP(C106, '03_FOOD_DATABASE'!$B$5:$L$60, 7, FALSE)*D106/100, IFERROR(VLOOKUP(C106, '04_RECIPE_DATABASE'!$B$5:$M$20, 9, FALSE)*D106, 0)))</f>
        <v/>
      </c>
      <c r="H106" s="107">
        <f>IF(OR(C106="", D106=""), "", IFERROR(VLOOKUP(C106, '03_FOOD_DATABASE'!$B$5:$L$60, 8, FALSE)*D106/100, IFERROR(VLOOKUP(C106, '04_RECIPE_DATABASE'!$B$5:$M$20, 10, FALSE)*D106, 0)))</f>
        <v/>
      </c>
      <c r="I106" s="107">
        <f>IF(OR(C106="", D106=""), "", IFERROR(VLOOKUP(C106, '03_FOOD_DATABASE'!$B$5:$L$60, 9, FALSE)*D106/100, IFERROR(VLOOKUP(C106, '04_RECIPE_DATABASE'!$B$5:$M$20, 11, FALSE)*D106, 0)))</f>
        <v/>
      </c>
      <c r="J106" s="106">
        <f>IF(OR(C106="", D106=""), "", IFERROR(VLOOKUP(C106, '03_FOOD_DATABASE'!$B$5:$L$60, 11, FALSE)*D106/100, IFERROR(VLOOKUP(C106, '04_RECIPE_DATABASE'!$B$5:$M$20, 12, FALSE)*D106, 0)))</f>
        <v/>
      </c>
      <c r="K106" s="7" t="n"/>
      <c r="L106" s="58" t="n"/>
      <c r="N106" s="108" t="n">
        <v>46415</v>
      </c>
      <c r="O106" s="109">
        <f>TEXT(N106, "dddd")</f>
        <v/>
      </c>
      <c r="P106" s="110">
        <f>IF(U106=0, "", SUMIFS($F$5:$F$1500, $A$5:$A$1500, N106))</f>
        <v/>
      </c>
      <c r="Q106" s="111">
        <f>IF(U106=0, "", SUMIFS($G$5:$G$1500, $A$5:$A$1500, N106))</f>
        <v/>
      </c>
      <c r="R106" s="111">
        <f>IF(U106=0, "", SUMIFS($H$5:$H$1500, $A$5:$A$1500, N106))</f>
        <v/>
      </c>
      <c r="S106" s="111">
        <f>IF(U106=0, "", SUMIFS($I$5:$I$1500, $A$5:$A$1500, N106))</f>
        <v/>
      </c>
      <c r="T106" s="110">
        <f>IF(U106=0, "", SUMIFS($J$5:$J$1500, $A$5:$A$1500, N106))</f>
        <v/>
      </c>
      <c r="U106" s="112">
        <f>COUNTIFS($A$5:$A$1500, N106)</f>
        <v/>
      </c>
      <c r="V106" s="113">
        <f>IF(U106=0, "CHƯA NHẬP", IF(U106&lt;3, "INCOMPLETE (Chưa đủ bữa)", "COMPLETE (Đầy đủ)"))</f>
        <v/>
      </c>
      <c r="W106" s="114">
        <f>IF(P106="", "", P106/'02_NUTRITION_SETUP'!$C$20)</f>
        <v/>
      </c>
      <c r="X106" s="114">
        <f>IF(Q106="", "", Q106/'02_NUTRITION_SETUP'!$C$21)</f>
        <v/>
      </c>
    </row>
    <row r="107" ht="22" customHeight="1">
      <c r="A107" s="57" t="n"/>
      <c r="B107" s="7" t="n"/>
      <c r="C107" s="58" t="n"/>
      <c r="D107" s="58" t="n"/>
      <c r="E107" s="7" t="n"/>
      <c r="F107" s="106">
        <f>IF(OR(C107="", D107=""), "", IFERROR(VLOOKUP(C107, '03_FOOD_DATABASE'!$B$5:$L$60, 6, FALSE)*D107/100, IFERROR(VLOOKUP(C107, '04_RECIPE_DATABASE'!$B$5:$M$20, 8, FALSE)*D107, 0)))</f>
        <v/>
      </c>
      <c r="G107" s="107">
        <f>IF(OR(C107="", D107=""), "", IFERROR(VLOOKUP(C107, '03_FOOD_DATABASE'!$B$5:$L$60, 7, FALSE)*D107/100, IFERROR(VLOOKUP(C107, '04_RECIPE_DATABASE'!$B$5:$M$20, 9, FALSE)*D107, 0)))</f>
        <v/>
      </c>
      <c r="H107" s="107">
        <f>IF(OR(C107="", D107=""), "", IFERROR(VLOOKUP(C107, '03_FOOD_DATABASE'!$B$5:$L$60, 8, FALSE)*D107/100, IFERROR(VLOOKUP(C107, '04_RECIPE_DATABASE'!$B$5:$M$20, 10, FALSE)*D107, 0)))</f>
        <v/>
      </c>
      <c r="I107" s="107">
        <f>IF(OR(C107="", D107=""), "", IFERROR(VLOOKUP(C107, '03_FOOD_DATABASE'!$B$5:$L$60, 9, FALSE)*D107/100, IFERROR(VLOOKUP(C107, '04_RECIPE_DATABASE'!$B$5:$M$20, 11, FALSE)*D107, 0)))</f>
        <v/>
      </c>
      <c r="J107" s="106">
        <f>IF(OR(C107="", D107=""), "", IFERROR(VLOOKUP(C107, '03_FOOD_DATABASE'!$B$5:$L$60, 11, FALSE)*D107/100, IFERROR(VLOOKUP(C107, '04_RECIPE_DATABASE'!$B$5:$M$20, 12, FALSE)*D107, 0)))</f>
        <v/>
      </c>
      <c r="K107" s="7" t="n"/>
      <c r="L107" s="58" t="n"/>
      <c r="N107" s="108" t="n">
        <v>46416</v>
      </c>
      <c r="O107" s="109">
        <f>TEXT(N107, "dddd")</f>
        <v/>
      </c>
      <c r="P107" s="110">
        <f>IF(U107=0, "", SUMIFS($F$5:$F$1500, $A$5:$A$1500, N107))</f>
        <v/>
      </c>
      <c r="Q107" s="111">
        <f>IF(U107=0, "", SUMIFS($G$5:$G$1500, $A$5:$A$1500, N107))</f>
        <v/>
      </c>
      <c r="R107" s="111">
        <f>IF(U107=0, "", SUMIFS($H$5:$H$1500, $A$5:$A$1500, N107))</f>
        <v/>
      </c>
      <c r="S107" s="111">
        <f>IF(U107=0, "", SUMIFS($I$5:$I$1500, $A$5:$A$1500, N107))</f>
        <v/>
      </c>
      <c r="T107" s="110">
        <f>IF(U107=0, "", SUMIFS($J$5:$J$1500, $A$5:$A$1500, N107))</f>
        <v/>
      </c>
      <c r="U107" s="112">
        <f>COUNTIFS($A$5:$A$1500, N107)</f>
        <v/>
      </c>
      <c r="V107" s="113">
        <f>IF(U107=0, "CHƯA NHẬP", IF(U107&lt;3, "INCOMPLETE (Chưa đủ bữa)", "COMPLETE (Đầy đủ)"))</f>
        <v/>
      </c>
      <c r="W107" s="114">
        <f>IF(P107="", "", P107/'02_NUTRITION_SETUP'!$C$20)</f>
        <v/>
      </c>
      <c r="X107" s="114">
        <f>IF(Q107="", "", Q107/'02_NUTRITION_SETUP'!$C$21)</f>
        <v/>
      </c>
    </row>
    <row r="108" ht="22" customHeight="1">
      <c r="A108" s="57" t="n"/>
      <c r="B108" s="7" t="n"/>
      <c r="C108" s="58" t="n"/>
      <c r="D108" s="58" t="n"/>
      <c r="E108" s="7" t="n"/>
      <c r="F108" s="106">
        <f>IF(OR(C108="", D108=""), "", IFERROR(VLOOKUP(C108, '03_FOOD_DATABASE'!$B$5:$L$60, 6, FALSE)*D108/100, IFERROR(VLOOKUP(C108, '04_RECIPE_DATABASE'!$B$5:$M$20, 8, FALSE)*D108, 0)))</f>
        <v/>
      </c>
      <c r="G108" s="107">
        <f>IF(OR(C108="", D108=""), "", IFERROR(VLOOKUP(C108, '03_FOOD_DATABASE'!$B$5:$L$60, 7, FALSE)*D108/100, IFERROR(VLOOKUP(C108, '04_RECIPE_DATABASE'!$B$5:$M$20, 9, FALSE)*D108, 0)))</f>
        <v/>
      </c>
      <c r="H108" s="107">
        <f>IF(OR(C108="", D108=""), "", IFERROR(VLOOKUP(C108, '03_FOOD_DATABASE'!$B$5:$L$60, 8, FALSE)*D108/100, IFERROR(VLOOKUP(C108, '04_RECIPE_DATABASE'!$B$5:$M$20, 10, FALSE)*D108, 0)))</f>
        <v/>
      </c>
      <c r="I108" s="107">
        <f>IF(OR(C108="", D108=""), "", IFERROR(VLOOKUP(C108, '03_FOOD_DATABASE'!$B$5:$L$60, 9, FALSE)*D108/100, IFERROR(VLOOKUP(C108, '04_RECIPE_DATABASE'!$B$5:$M$20, 11, FALSE)*D108, 0)))</f>
        <v/>
      </c>
      <c r="J108" s="106">
        <f>IF(OR(C108="", D108=""), "", IFERROR(VLOOKUP(C108, '03_FOOD_DATABASE'!$B$5:$L$60, 11, FALSE)*D108/100, IFERROR(VLOOKUP(C108, '04_RECIPE_DATABASE'!$B$5:$M$20, 12, FALSE)*D108, 0)))</f>
        <v/>
      </c>
      <c r="K108" s="7" t="n"/>
      <c r="L108" s="58" t="n"/>
      <c r="N108" s="108" t="n">
        <v>46417</v>
      </c>
      <c r="O108" s="109">
        <f>TEXT(N108, "dddd")</f>
        <v/>
      </c>
      <c r="P108" s="110">
        <f>IF(U108=0, "", SUMIFS($F$5:$F$1500, $A$5:$A$1500, N108))</f>
        <v/>
      </c>
      <c r="Q108" s="111">
        <f>IF(U108=0, "", SUMIFS($G$5:$G$1500, $A$5:$A$1500, N108))</f>
        <v/>
      </c>
      <c r="R108" s="111">
        <f>IF(U108=0, "", SUMIFS($H$5:$H$1500, $A$5:$A$1500, N108))</f>
        <v/>
      </c>
      <c r="S108" s="111">
        <f>IF(U108=0, "", SUMIFS($I$5:$I$1500, $A$5:$A$1500, N108))</f>
        <v/>
      </c>
      <c r="T108" s="110">
        <f>IF(U108=0, "", SUMIFS($J$5:$J$1500, $A$5:$A$1500, N108))</f>
        <v/>
      </c>
      <c r="U108" s="112">
        <f>COUNTIFS($A$5:$A$1500, N108)</f>
        <v/>
      </c>
      <c r="V108" s="113">
        <f>IF(U108=0, "CHƯA NHẬP", IF(U108&lt;3, "INCOMPLETE (Chưa đủ bữa)", "COMPLETE (Đầy đủ)"))</f>
        <v/>
      </c>
      <c r="W108" s="114">
        <f>IF(P108="", "", P108/'02_NUTRITION_SETUP'!$C$20)</f>
        <v/>
      </c>
      <c r="X108" s="114">
        <f>IF(Q108="", "", Q108/'02_NUTRITION_SETUP'!$C$21)</f>
        <v/>
      </c>
    </row>
    <row r="109" ht="22" customHeight="1">
      <c r="A109" s="57" t="n"/>
      <c r="B109" s="7" t="n"/>
      <c r="C109" s="58" t="n"/>
      <c r="D109" s="58" t="n"/>
      <c r="E109" s="7" t="n"/>
      <c r="F109" s="106">
        <f>IF(OR(C109="", D109=""), "", IFERROR(VLOOKUP(C109, '03_FOOD_DATABASE'!$B$5:$L$60, 6, FALSE)*D109/100, IFERROR(VLOOKUP(C109, '04_RECIPE_DATABASE'!$B$5:$M$20, 8, FALSE)*D109, 0)))</f>
        <v/>
      </c>
      <c r="G109" s="107">
        <f>IF(OR(C109="", D109=""), "", IFERROR(VLOOKUP(C109, '03_FOOD_DATABASE'!$B$5:$L$60, 7, FALSE)*D109/100, IFERROR(VLOOKUP(C109, '04_RECIPE_DATABASE'!$B$5:$M$20, 9, FALSE)*D109, 0)))</f>
        <v/>
      </c>
      <c r="H109" s="107">
        <f>IF(OR(C109="", D109=""), "", IFERROR(VLOOKUP(C109, '03_FOOD_DATABASE'!$B$5:$L$60, 8, FALSE)*D109/100, IFERROR(VLOOKUP(C109, '04_RECIPE_DATABASE'!$B$5:$M$20, 10, FALSE)*D109, 0)))</f>
        <v/>
      </c>
      <c r="I109" s="107">
        <f>IF(OR(C109="", D109=""), "", IFERROR(VLOOKUP(C109, '03_FOOD_DATABASE'!$B$5:$L$60, 9, FALSE)*D109/100, IFERROR(VLOOKUP(C109, '04_RECIPE_DATABASE'!$B$5:$M$20, 11, FALSE)*D109, 0)))</f>
        <v/>
      </c>
      <c r="J109" s="106">
        <f>IF(OR(C109="", D109=""), "", IFERROR(VLOOKUP(C109, '03_FOOD_DATABASE'!$B$5:$L$60, 11, FALSE)*D109/100, IFERROR(VLOOKUP(C109, '04_RECIPE_DATABASE'!$B$5:$M$20, 12, FALSE)*D109, 0)))</f>
        <v/>
      </c>
      <c r="K109" s="7" t="n"/>
      <c r="L109" s="58" t="n"/>
      <c r="N109" s="108" t="n">
        <v>46418</v>
      </c>
      <c r="O109" s="109">
        <f>TEXT(N109, "dddd")</f>
        <v/>
      </c>
      <c r="P109" s="110">
        <f>IF(U109=0, "", SUMIFS($F$5:$F$1500, $A$5:$A$1500, N109))</f>
        <v/>
      </c>
      <c r="Q109" s="111">
        <f>IF(U109=0, "", SUMIFS($G$5:$G$1500, $A$5:$A$1500, N109))</f>
        <v/>
      </c>
      <c r="R109" s="111">
        <f>IF(U109=0, "", SUMIFS($H$5:$H$1500, $A$5:$A$1500, N109))</f>
        <v/>
      </c>
      <c r="S109" s="111">
        <f>IF(U109=0, "", SUMIFS($I$5:$I$1500, $A$5:$A$1500, N109))</f>
        <v/>
      </c>
      <c r="T109" s="110">
        <f>IF(U109=0, "", SUMIFS($J$5:$J$1500, $A$5:$A$1500, N109))</f>
        <v/>
      </c>
      <c r="U109" s="112">
        <f>COUNTIFS($A$5:$A$1500, N109)</f>
        <v/>
      </c>
      <c r="V109" s="113">
        <f>IF(U109=0, "CHƯA NHẬP", IF(U109&lt;3, "INCOMPLETE (Chưa đủ bữa)", "COMPLETE (Đầy đủ)"))</f>
        <v/>
      </c>
      <c r="W109" s="114">
        <f>IF(P109="", "", P109/'02_NUTRITION_SETUP'!$C$20)</f>
        <v/>
      </c>
      <c r="X109" s="114">
        <f>IF(Q109="", "", Q109/'02_NUTRITION_SETUP'!$C$21)</f>
        <v/>
      </c>
    </row>
    <row r="110" ht="22" customHeight="1">
      <c r="A110" s="57" t="n"/>
      <c r="B110" s="7" t="n"/>
      <c r="C110" s="58" t="n"/>
      <c r="D110" s="58" t="n"/>
      <c r="E110" s="7" t="n"/>
      <c r="F110" s="106">
        <f>IF(OR(C110="", D110=""), "", IFERROR(VLOOKUP(C110, '03_FOOD_DATABASE'!$B$5:$L$60, 6, FALSE)*D110/100, IFERROR(VLOOKUP(C110, '04_RECIPE_DATABASE'!$B$5:$M$20, 8, FALSE)*D110, 0)))</f>
        <v/>
      </c>
      <c r="G110" s="107">
        <f>IF(OR(C110="", D110=""), "", IFERROR(VLOOKUP(C110, '03_FOOD_DATABASE'!$B$5:$L$60, 7, FALSE)*D110/100, IFERROR(VLOOKUP(C110, '04_RECIPE_DATABASE'!$B$5:$M$20, 9, FALSE)*D110, 0)))</f>
        <v/>
      </c>
      <c r="H110" s="107">
        <f>IF(OR(C110="", D110=""), "", IFERROR(VLOOKUP(C110, '03_FOOD_DATABASE'!$B$5:$L$60, 8, FALSE)*D110/100, IFERROR(VLOOKUP(C110, '04_RECIPE_DATABASE'!$B$5:$M$20, 10, FALSE)*D110, 0)))</f>
        <v/>
      </c>
      <c r="I110" s="107">
        <f>IF(OR(C110="", D110=""), "", IFERROR(VLOOKUP(C110, '03_FOOD_DATABASE'!$B$5:$L$60, 9, FALSE)*D110/100, IFERROR(VLOOKUP(C110, '04_RECIPE_DATABASE'!$B$5:$M$20, 11, FALSE)*D110, 0)))</f>
        <v/>
      </c>
      <c r="J110" s="106">
        <f>IF(OR(C110="", D110=""), "", IFERROR(VLOOKUP(C110, '03_FOOD_DATABASE'!$B$5:$L$60, 11, FALSE)*D110/100, IFERROR(VLOOKUP(C110, '04_RECIPE_DATABASE'!$B$5:$M$20, 12, FALSE)*D110, 0)))</f>
        <v/>
      </c>
      <c r="K110" s="7" t="n"/>
      <c r="L110" s="58" t="n"/>
      <c r="N110" s="108" t="n">
        <v>46419</v>
      </c>
      <c r="O110" s="109">
        <f>TEXT(N110, "dddd")</f>
        <v/>
      </c>
      <c r="P110" s="110">
        <f>IF(U110=0, "", SUMIFS($F$5:$F$1500, $A$5:$A$1500, N110))</f>
        <v/>
      </c>
      <c r="Q110" s="111">
        <f>IF(U110=0, "", SUMIFS($G$5:$G$1500, $A$5:$A$1500, N110))</f>
        <v/>
      </c>
      <c r="R110" s="111">
        <f>IF(U110=0, "", SUMIFS($H$5:$H$1500, $A$5:$A$1500, N110))</f>
        <v/>
      </c>
      <c r="S110" s="111">
        <f>IF(U110=0, "", SUMIFS($I$5:$I$1500, $A$5:$A$1500, N110))</f>
        <v/>
      </c>
      <c r="T110" s="110">
        <f>IF(U110=0, "", SUMIFS($J$5:$J$1500, $A$5:$A$1500, N110))</f>
        <v/>
      </c>
      <c r="U110" s="112">
        <f>COUNTIFS($A$5:$A$1500, N110)</f>
        <v/>
      </c>
      <c r="V110" s="113">
        <f>IF(U110=0, "CHƯA NHẬP", IF(U110&lt;3, "INCOMPLETE (Chưa đủ bữa)", "COMPLETE (Đầy đủ)"))</f>
        <v/>
      </c>
      <c r="W110" s="114">
        <f>IF(P110="", "", P110/'02_NUTRITION_SETUP'!$C$20)</f>
        <v/>
      </c>
      <c r="X110" s="114">
        <f>IF(Q110="", "", Q110/'02_NUTRITION_SETUP'!$C$21)</f>
        <v/>
      </c>
    </row>
    <row r="111" ht="22" customHeight="1">
      <c r="A111" s="57" t="n"/>
      <c r="B111" s="7" t="n"/>
      <c r="C111" s="58" t="n"/>
      <c r="D111" s="58" t="n"/>
      <c r="E111" s="7" t="n"/>
      <c r="F111" s="106">
        <f>IF(OR(C111="", D111=""), "", IFERROR(VLOOKUP(C111, '03_FOOD_DATABASE'!$B$5:$L$60, 6, FALSE)*D111/100, IFERROR(VLOOKUP(C111, '04_RECIPE_DATABASE'!$B$5:$M$20, 8, FALSE)*D111, 0)))</f>
        <v/>
      </c>
      <c r="G111" s="107">
        <f>IF(OR(C111="", D111=""), "", IFERROR(VLOOKUP(C111, '03_FOOD_DATABASE'!$B$5:$L$60, 7, FALSE)*D111/100, IFERROR(VLOOKUP(C111, '04_RECIPE_DATABASE'!$B$5:$M$20, 9, FALSE)*D111, 0)))</f>
        <v/>
      </c>
      <c r="H111" s="107">
        <f>IF(OR(C111="", D111=""), "", IFERROR(VLOOKUP(C111, '03_FOOD_DATABASE'!$B$5:$L$60, 8, FALSE)*D111/100, IFERROR(VLOOKUP(C111, '04_RECIPE_DATABASE'!$B$5:$M$20, 10, FALSE)*D111, 0)))</f>
        <v/>
      </c>
      <c r="I111" s="107">
        <f>IF(OR(C111="", D111=""), "", IFERROR(VLOOKUP(C111, '03_FOOD_DATABASE'!$B$5:$L$60, 9, FALSE)*D111/100, IFERROR(VLOOKUP(C111, '04_RECIPE_DATABASE'!$B$5:$M$20, 11, FALSE)*D111, 0)))</f>
        <v/>
      </c>
      <c r="J111" s="106">
        <f>IF(OR(C111="", D111=""), "", IFERROR(VLOOKUP(C111, '03_FOOD_DATABASE'!$B$5:$L$60, 11, FALSE)*D111/100, IFERROR(VLOOKUP(C111, '04_RECIPE_DATABASE'!$B$5:$M$20, 12, FALSE)*D111, 0)))</f>
        <v/>
      </c>
      <c r="K111" s="7" t="n"/>
      <c r="L111" s="58" t="n"/>
      <c r="N111" s="108" t="n">
        <v>46420</v>
      </c>
      <c r="O111" s="109">
        <f>TEXT(N111, "dddd")</f>
        <v/>
      </c>
      <c r="P111" s="110">
        <f>IF(U111=0, "", SUMIFS($F$5:$F$1500, $A$5:$A$1500, N111))</f>
        <v/>
      </c>
      <c r="Q111" s="111">
        <f>IF(U111=0, "", SUMIFS($G$5:$G$1500, $A$5:$A$1500, N111))</f>
        <v/>
      </c>
      <c r="R111" s="111">
        <f>IF(U111=0, "", SUMIFS($H$5:$H$1500, $A$5:$A$1500, N111))</f>
        <v/>
      </c>
      <c r="S111" s="111">
        <f>IF(U111=0, "", SUMIFS($I$5:$I$1500, $A$5:$A$1500, N111))</f>
        <v/>
      </c>
      <c r="T111" s="110">
        <f>IF(U111=0, "", SUMIFS($J$5:$J$1500, $A$5:$A$1500, N111))</f>
        <v/>
      </c>
      <c r="U111" s="112">
        <f>COUNTIFS($A$5:$A$1500, N111)</f>
        <v/>
      </c>
      <c r="V111" s="113">
        <f>IF(U111=0, "CHƯA NHẬP", IF(U111&lt;3, "INCOMPLETE (Chưa đủ bữa)", "COMPLETE (Đầy đủ)"))</f>
        <v/>
      </c>
      <c r="W111" s="114">
        <f>IF(P111="", "", P111/'02_NUTRITION_SETUP'!$C$20)</f>
        <v/>
      </c>
      <c r="X111" s="114">
        <f>IF(Q111="", "", Q111/'02_NUTRITION_SETUP'!$C$21)</f>
        <v/>
      </c>
    </row>
    <row r="112" ht="22" customHeight="1">
      <c r="A112" s="57" t="n"/>
      <c r="B112" s="7" t="n"/>
      <c r="C112" s="58" t="n"/>
      <c r="D112" s="58" t="n"/>
      <c r="E112" s="7" t="n"/>
      <c r="F112" s="106">
        <f>IF(OR(C112="", D112=""), "", IFERROR(VLOOKUP(C112, '03_FOOD_DATABASE'!$B$5:$L$60, 6, FALSE)*D112/100, IFERROR(VLOOKUP(C112, '04_RECIPE_DATABASE'!$B$5:$M$20, 8, FALSE)*D112, 0)))</f>
        <v/>
      </c>
      <c r="G112" s="107">
        <f>IF(OR(C112="", D112=""), "", IFERROR(VLOOKUP(C112, '03_FOOD_DATABASE'!$B$5:$L$60, 7, FALSE)*D112/100, IFERROR(VLOOKUP(C112, '04_RECIPE_DATABASE'!$B$5:$M$20, 9, FALSE)*D112, 0)))</f>
        <v/>
      </c>
      <c r="H112" s="107">
        <f>IF(OR(C112="", D112=""), "", IFERROR(VLOOKUP(C112, '03_FOOD_DATABASE'!$B$5:$L$60, 8, FALSE)*D112/100, IFERROR(VLOOKUP(C112, '04_RECIPE_DATABASE'!$B$5:$M$20, 10, FALSE)*D112, 0)))</f>
        <v/>
      </c>
      <c r="I112" s="107">
        <f>IF(OR(C112="", D112=""), "", IFERROR(VLOOKUP(C112, '03_FOOD_DATABASE'!$B$5:$L$60, 9, FALSE)*D112/100, IFERROR(VLOOKUP(C112, '04_RECIPE_DATABASE'!$B$5:$M$20, 11, FALSE)*D112, 0)))</f>
        <v/>
      </c>
      <c r="J112" s="106">
        <f>IF(OR(C112="", D112=""), "", IFERROR(VLOOKUP(C112, '03_FOOD_DATABASE'!$B$5:$L$60, 11, FALSE)*D112/100, IFERROR(VLOOKUP(C112, '04_RECIPE_DATABASE'!$B$5:$M$20, 12, FALSE)*D112, 0)))</f>
        <v/>
      </c>
      <c r="K112" s="7" t="n"/>
      <c r="L112" s="58" t="n"/>
      <c r="N112" s="108" t="n">
        <v>46421</v>
      </c>
      <c r="O112" s="109">
        <f>TEXT(N112, "dddd")</f>
        <v/>
      </c>
      <c r="P112" s="110">
        <f>IF(U112=0, "", SUMIFS($F$5:$F$1500, $A$5:$A$1500, N112))</f>
        <v/>
      </c>
      <c r="Q112" s="111">
        <f>IF(U112=0, "", SUMIFS($G$5:$G$1500, $A$5:$A$1500, N112))</f>
        <v/>
      </c>
      <c r="R112" s="111">
        <f>IF(U112=0, "", SUMIFS($H$5:$H$1500, $A$5:$A$1500, N112))</f>
        <v/>
      </c>
      <c r="S112" s="111">
        <f>IF(U112=0, "", SUMIFS($I$5:$I$1500, $A$5:$A$1500, N112))</f>
        <v/>
      </c>
      <c r="T112" s="110">
        <f>IF(U112=0, "", SUMIFS($J$5:$J$1500, $A$5:$A$1500, N112))</f>
        <v/>
      </c>
      <c r="U112" s="112">
        <f>COUNTIFS($A$5:$A$1500, N112)</f>
        <v/>
      </c>
      <c r="V112" s="113">
        <f>IF(U112=0, "CHƯA NHẬP", IF(U112&lt;3, "INCOMPLETE (Chưa đủ bữa)", "COMPLETE (Đầy đủ)"))</f>
        <v/>
      </c>
      <c r="W112" s="114">
        <f>IF(P112="", "", P112/'02_NUTRITION_SETUP'!$C$20)</f>
        <v/>
      </c>
      <c r="X112" s="114">
        <f>IF(Q112="", "", Q112/'02_NUTRITION_SETUP'!$C$21)</f>
        <v/>
      </c>
    </row>
    <row r="113" ht="22" customHeight="1">
      <c r="A113" s="57" t="n"/>
      <c r="B113" s="7" t="n"/>
      <c r="C113" s="58" t="n"/>
      <c r="D113" s="58" t="n"/>
      <c r="E113" s="7" t="n"/>
      <c r="F113" s="106">
        <f>IF(OR(C113="", D113=""), "", IFERROR(VLOOKUP(C113, '03_FOOD_DATABASE'!$B$5:$L$60, 6, FALSE)*D113/100, IFERROR(VLOOKUP(C113, '04_RECIPE_DATABASE'!$B$5:$M$20, 8, FALSE)*D113, 0)))</f>
        <v/>
      </c>
      <c r="G113" s="107">
        <f>IF(OR(C113="", D113=""), "", IFERROR(VLOOKUP(C113, '03_FOOD_DATABASE'!$B$5:$L$60, 7, FALSE)*D113/100, IFERROR(VLOOKUP(C113, '04_RECIPE_DATABASE'!$B$5:$M$20, 9, FALSE)*D113, 0)))</f>
        <v/>
      </c>
      <c r="H113" s="107">
        <f>IF(OR(C113="", D113=""), "", IFERROR(VLOOKUP(C113, '03_FOOD_DATABASE'!$B$5:$L$60, 8, FALSE)*D113/100, IFERROR(VLOOKUP(C113, '04_RECIPE_DATABASE'!$B$5:$M$20, 10, FALSE)*D113, 0)))</f>
        <v/>
      </c>
      <c r="I113" s="107">
        <f>IF(OR(C113="", D113=""), "", IFERROR(VLOOKUP(C113, '03_FOOD_DATABASE'!$B$5:$L$60, 9, FALSE)*D113/100, IFERROR(VLOOKUP(C113, '04_RECIPE_DATABASE'!$B$5:$M$20, 11, FALSE)*D113, 0)))</f>
        <v/>
      </c>
      <c r="J113" s="106">
        <f>IF(OR(C113="", D113=""), "", IFERROR(VLOOKUP(C113, '03_FOOD_DATABASE'!$B$5:$L$60, 11, FALSE)*D113/100, IFERROR(VLOOKUP(C113, '04_RECIPE_DATABASE'!$B$5:$M$20, 12, FALSE)*D113, 0)))</f>
        <v/>
      </c>
      <c r="K113" s="7" t="n"/>
      <c r="L113" s="58" t="n"/>
      <c r="N113" s="108" t="n">
        <v>46422</v>
      </c>
      <c r="O113" s="109">
        <f>TEXT(N113, "dddd")</f>
        <v/>
      </c>
      <c r="P113" s="110">
        <f>IF(U113=0, "", SUMIFS($F$5:$F$1500, $A$5:$A$1500, N113))</f>
        <v/>
      </c>
      <c r="Q113" s="111">
        <f>IF(U113=0, "", SUMIFS($G$5:$G$1500, $A$5:$A$1500, N113))</f>
        <v/>
      </c>
      <c r="R113" s="111">
        <f>IF(U113=0, "", SUMIFS($H$5:$H$1500, $A$5:$A$1500, N113))</f>
        <v/>
      </c>
      <c r="S113" s="111">
        <f>IF(U113=0, "", SUMIFS($I$5:$I$1500, $A$5:$A$1500, N113))</f>
        <v/>
      </c>
      <c r="T113" s="110">
        <f>IF(U113=0, "", SUMIFS($J$5:$J$1500, $A$5:$A$1500, N113))</f>
        <v/>
      </c>
      <c r="U113" s="112">
        <f>COUNTIFS($A$5:$A$1500, N113)</f>
        <v/>
      </c>
      <c r="V113" s="113">
        <f>IF(U113=0, "CHƯA NHẬP", IF(U113&lt;3, "INCOMPLETE (Chưa đủ bữa)", "COMPLETE (Đầy đủ)"))</f>
        <v/>
      </c>
      <c r="W113" s="114">
        <f>IF(P113="", "", P113/'02_NUTRITION_SETUP'!$C$20)</f>
        <v/>
      </c>
      <c r="X113" s="114">
        <f>IF(Q113="", "", Q113/'02_NUTRITION_SETUP'!$C$21)</f>
        <v/>
      </c>
    </row>
    <row r="114" ht="22" customHeight="1">
      <c r="A114" s="57" t="n"/>
      <c r="B114" s="7" t="n"/>
      <c r="C114" s="58" t="n"/>
      <c r="D114" s="58" t="n"/>
      <c r="E114" s="7" t="n"/>
      <c r="F114" s="106">
        <f>IF(OR(C114="", D114=""), "", IFERROR(VLOOKUP(C114, '03_FOOD_DATABASE'!$B$5:$L$60, 6, FALSE)*D114/100, IFERROR(VLOOKUP(C114, '04_RECIPE_DATABASE'!$B$5:$M$20, 8, FALSE)*D114, 0)))</f>
        <v/>
      </c>
      <c r="G114" s="107">
        <f>IF(OR(C114="", D114=""), "", IFERROR(VLOOKUP(C114, '03_FOOD_DATABASE'!$B$5:$L$60, 7, FALSE)*D114/100, IFERROR(VLOOKUP(C114, '04_RECIPE_DATABASE'!$B$5:$M$20, 9, FALSE)*D114, 0)))</f>
        <v/>
      </c>
      <c r="H114" s="107">
        <f>IF(OR(C114="", D114=""), "", IFERROR(VLOOKUP(C114, '03_FOOD_DATABASE'!$B$5:$L$60, 8, FALSE)*D114/100, IFERROR(VLOOKUP(C114, '04_RECIPE_DATABASE'!$B$5:$M$20, 10, FALSE)*D114, 0)))</f>
        <v/>
      </c>
      <c r="I114" s="107">
        <f>IF(OR(C114="", D114=""), "", IFERROR(VLOOKUP(C114, '03_FOOD_DATABASE'!$B$5:$L$60, 9, FALSE)*D114/100, IFERROR(VLOOKUP(C114, '04_RECIPE_DATABASE'!$B$5:$M$20, 11, FALSE)*D114, 0)))</f>
        <v/>
      </c>
      <c r="J114" s="106">
        <f>IF(OR(C114="", D114=""), "", IFERROR(VLOOKUP(C114, '03_FOOD_DATABASE'!$B$5:$L$60, 11, FALSE)*D114/100, IFERROR(VLOOKUP(C114, '04_RECIPE_DATABASE'!$B$5:$M$20, 12, FALSE)*D114, 0)))</f>
        <v/>
      </c>
      <c r="K114" s="7" t="n"/>
      <c r="L114" s="58" t="n"/>
      <c r="N114" s="108" t="n">
        <v>46423</v>
      </c>
      <c r="O114" s="109">
        <f>TEXT(N114, "dddd")</f>
        <v/>
      </c>
      <c r="P114" s="110">
        <f>IF(U114=0, "", SUMIFS($F$5:$F$1500, $A$5:$A$1500, N114))</f>
        <v/>
      </c>
      <c r="Q114" s="111">
        <f>IF(U114=0, "", SUMIFS($G$5:$G$1500, $A$5:$A$1500, N114))</f>
        <v/>
      </c>
      <c r="R114" s="111">
        <f>IF(U114=0, "", SUMIFS($H$5:$H$1500, $A$5:$A$1500, N114))</f>
        <v/>
      </c>
      <c r="S114" s="111">
        <f>IF(U114=0, "", SUMIFS($I$5:$I$1500, $A$5:$A$1500, N114))</f>
        <v/>
      </c>
      <c r="T114" s="110">
        <f>IF(U114=0, "", SUMIFS($J$5:$J$1500, $A$5:$A$1500, N114))</f>
        <v/>
      </c>
      <c r="U114" s="112">
        <f>COUNTIFS($A$5:$A$1500, N114)</f>
        <v/>
      </c>
      <c r="V114" s="113">
        <f>IF(U114=0, "CHƯA NHẬP", IF(U114&lt;3, "INCOMPLETE (Chưa đủ bữa)", "COMPLETE (Đầy đủ)"))</f>
        <v/>
      </c>
      <c r="W114" s="114">
        <f>IF(P114="", "", P114/'02_NUTRITION_SETUP'!$C$20)</f>
        <v/>
      </c>
      <c r="X114" s="114">
        <f>IF(Q114="", "", Q114/'02_NUTRITION_SETUP'!$C$21)</f>
        <v/>
      </c>
    </row>
    <row r="115" ht="22" customHeight="1">
      <c r="A115" s="57" t="n"/>
      <c r="B115" s="7" t="n"/>
      <c r="C115" s="58" t="n"/>
      <c r="D115" s="58" t="n"/>
      <c r="E115" s="7" t="n"/>
      <c r="F115" s="106">
        <f>IF(OR(C115="", D115=""), "", IFERROR(VLOOKUP(C115, '03_FOOD_DATABASE'!$B$5:$L$60, 6, FALSE)*D115/100, IFERROR(VLOOKUP(C115, '04_RECIPE_DATABASE'!$B$5:$M$20, 8, FALSE)*D115, 0)))</f>
        <v/>
      </c>
      <c r="G115" s="107">
        <f>IF(OR(C115="", D115=""), "", IFERROR(VLOOKUP(C115, '03_FOOD_DATABASE'!$B$5:$L$60, 7, FALSE)*D115/100, IFERROR(VLOOKUP(C115, '04_RECIPE_DATABASE'!$B$5:$M$20, 9, FALSE)*D115, 0)))</f>
        <v/>
      </c>
      <c r="H115" s="107">
        <f>IF(OR(C115="", D115=""), "", IFERROR(VLOOKUP(C115, '03_FOOD_DATABASE'!$B$5:$L$60, 8, FALSE)*D115/100, IFERROR(VLOOKUP(C115, '04_RECIPE_DATABASE'!$B$5:$M$20, 10, FALSE)*D115, 0)))</f>
        <v/>
      </c>
      <c r="I115" s="107">
        <f>IF(OR(C115="", D115=""), "", IFERROR(VLOOKUP(C115, '03_FOOD_DATABASE'!$B$5:$L$60, 9, FALSE)*D115/100, IFERROR(VLOOKUP(C115, '04_RECIPE_DATABASE'!$B$5:$M$20, 11, FALSE)*D115, 0)))</f>
        <v/>
      </c>
      <c r="J115" s="106">
        <f>IF(OR(C115="", D115=""), "", IFERROR(VLOOKUP(C115, '03_FOOD_DATABASE'!$B$5:$L$60, 11, FALSE)*D115/100, IFERROR(VLOOKUP(C115, '04_RECIPE_DATABASE'!$B$5:$M$20, 12, FALSE)*D115, 0)))</f>
        <v/>
      </c>
      <c r="K115" s="7" t="n"/>
      <c r="L115" s="58" t="n"/>
      <c r="N115" s="108" t="n">
        <v>46424</v>
      </c>
      <c r="O115" s="109">
        <f>TEXT(N115, "dddd")</f>
        <v/>
      </c>
      <c r="P115" s="110">
        <f>IF(U115=0, "", SUMIFS($F$5:$F$1500, $A$5:$A$1500, N115))</f>
        <v/>
      </c>
      <c r="Q115" s="111">
        <f>IF(U115=0, "", SUMIFS($G$5:$G$1500, $A$5:$A$1500, N115))</f>
        <v/>
      </c>
      <c r="R115" s="111">
        <f>IF(U115=0, "", SUMIFS($H$5:$H$1500, $A$5:$A$1500, N115))</f>
        <v/>
      </c>
      <c r="S115" s="111">
        <f>IF(U115=0, "", SUMIFS($I$5:$I$1500, $A$5:$A$1500, N115))</f>
        <v/>
      </c>
      <c r="T115" s="110">
        <f>IF(U115=0, "", SUMIFS($J$5:$J$1500, $A$5:$A$1500, N115))</f>
        <v/>
      </c>
      <c r="U115" s="112">
        <f>COUNTIFS($A$5:$A$1500, N115)</f>
        <v/>
      </c>
      <c r="V115" s="113">
        <f>IF(U115=0, "CHƯA NHẬP", IF(U115&lt;3, "INCOMPLETE (Chưa đủ bữa)", "COMPLETE (Đầy đủ)"))</f>
        <v/>
      </c>
      <c r="W115" s="114">
        <f>IF(P115="", "", P115/'02_NUTRITION_SETUP'!$C$20)</f>
        <v/>
      </c>
      <c r="X115" s="114">
        <f>IF(Q115="", "", Q115/'02_NUTRITION_SETUP'!$C$21)</f>
        <v/>
      </c>
    </row>
    <row r="116" ht="22" customHeight="1">
      <c r="A116" s="57" t="n"/>
      <c r="B116" s="7" t="n"/>
      <c r="C116" s="58" t="n"/>
      <c r="D116" s="58" t="n"/>
      <c r="E116" s="7" t="n"/>
      <c r="F116" s="106">
        <f>IF(OR(C116="", D116=""), "", IFERROR(VLOOKUP(C116, '03_FOOD_DATABASE'!$B$5:$L$60, 6, FALSE)*D116/100, IFERROR(VLOOKUP(C116, '04_RECIPE_DATABASE'!$B$5:$M$20, 8, FALSE)*D116, 0)))</f>
        <v/>
      </c>
      <c r="G116" s="107">
        <f>IF(OR(C116="", D116=""), "", IFERROR(VLOOKUP(C116, '03_FOOD_DATABASE'!$B$5:$L$60, 7, FALSE)*D116/100, IFERROR(VLOOKUP(C116, '04_RECIPE_DATABASE'!$B$5:$M$20, 9, FALSE)*D116, 0)))</f>
        <v/>
      </c>
      <c r="H116" s="107">
        <f>IF(OR(C116="", D116=""), "", IFERROR(VLOOKUP(C116, '03_FOOD_DATABASE'!$B$5:$L$60, 8, FALSE)*D116/100, IFERROR(VLOOKUP(C116, '04_RECIPE_DATABASE'!$B$5:$M$20, 10, FALSE)*D116, 0)))</f>
        <v/>
      </c>
      <c r="I116" s="107">
        <f>IF(OR(C116="", D116=""), "", IFERROR(VLOOKUP(C116, '03_FOOD_DATABASE'!$B$5:$L$60, 9, FALSE)*D116/100, IFERROR(VLOOKUP(C116, '04_RECIPE_DATABASE'!$B$5:$M$20, 11, FALSE)*D116, 0)))</f>
        <v/>
      </c>
      <c r="J116" s="106">
        <f>IF(OR(C116="", D116=""), "", IFERROR(VLOOKUP(C116, '03_FOOD_DATABASE'!$B$5:$L$60, 11, FALSE)*D116/100, IFERROR(VLOOKUP(C116, '04_RECIPE_DATABASE'!$B$5:$M$20, 12, FALSE)*D116, 0)))</f>
        <v/>
      </c>
      <c r="K116" s="7" t="n"/>
      <c r="L116" s="58" t="n"/>
      <c r="N116" s="108" t="n">
        <v>46425</v>
      </c>
      <c r="O116" s="109">
        <f>TEXT(N116, "dddd")</f>
        <v/>
      </c>
      <c r="P116" s="110">
        <f>IF(U116=0, "", SUMIFS($F$5:$F$1500, $A$5:$A$1500, N116))</f>
        <v/>
      </c>
      <c r="Q116" s="111">
        <f>IF(U116=0, "", SUMIFS($G$5:$G$1500, $A$5:$A$1500, N116))</f>
        <v/>
      </c>
      <c r="R116" s="111">
        <f>IF(U116=0, "", SUMIFS($H$5:$H$1500, $A$5:$A$1500, N116))</f>
        <v/>
      </c>
      <c r="S116" s="111">
        <f>IF(U116=0, "", SUMIFS($I$5:$I$1500, $A$5:$A$1500, N116))</f>
        <v/>
      </c>
      <c r="T116" s="110">
        <f>IF(U116=0, "", SUMIFS($J$5:$J$1500, $A$5:$A$1500, N116))</f>
        <v/>
      </c>
      <c r="U116" s="112">
        <f>COUNTIFS($A$5:$A$1500, N116)</f>
        <v/>
      </c>
      <c r="V116" s="113">
        <f>IF(U116=0, "CHƯA NHẬP", IF(U116&lt;3, "INCOMPLETE (Chưa đủ bữa)", "COMPLETE (Đầy đủ)"))</f>
        <v/>
      </c>
      <c r="W116" s="114">
        <f>IF(P116="", "", P116/'02_NUTRITION_SETUP'!$C$20)</f>
        <v/>
      </c>
      <c r="X116" s="114">
        <f>IF(Q116="", "", Q116/'02_NUTRITION_SETUP'!$C$21)</f>
        <v/>
      </c>
    </row>
    <row r="117" ht="22" customHeight="1">
      <c r="A117" s="57" t="n"/>
      <c r="B117" s="7" t="n"/>
      <c r="C117" s="58" t="n"/>
      <c r="D117" s="58" t="n"/>
      <c r="E117" s="7" t="n"/>
      <c r="F117" s="106">
        <f>IF(OR(C117="", D117=""), "", IFERROR(VLOOKUP(C117, '03_FOOD_DATABASE'!$B$5:$L$60, 6, FALSE)*D117/100, IFERROR(VLOOKUP(C117, '04_RECIPE_DATABASE'!$B$5:$M$20, 8, FALSE)*D117, 0)))</f>
        <v/>
      </c>
      <c r="G117" s="107">
        <f>IF(OR(C117="", D117=""), "", IFERROR(VLOOKUP(C117, '03_FOOD_DATABASE'!$B$5:$L$60, 7, FALSE)*D117/100, IFERROR(VLOOKUP(C117, '04_RECIPE_DATABASE'!$B$5:$M$20, 9, FALSE)*D117, 0)))</f>
        <v/>
      </c>
      <c r="H117" s="107">
        <f>IF(OR(C117="", D117=""), "", IFERROR(VLOOKUP(C117, '03_FOOD_DATABASE'!$B$5:$L$60, 8, FALSE)*D117/100, IFERROR(VLOOKUP(C117, '04_RECIPE_DATABASE'!$B$5:$M$20, 10, FALSE)*D117, 0)))</f>
        <v/>
      </c>
      <c r="I117" s="107">
        <f>IF(OR(C117="", D117=""), "", IFERROR(VLOOKUP(C117, '03_FOOD_DATABASE'!$B$5:$L$60, 9, FALSE)*D117/100, IFERROR(VLOOKUP(C117, '04_RECIPE_DATABASE'!$B$5:$M$20, 11, FALSE)*D117, 0)))</f>
        <v/>
      </c>
      <c r="J117" s="106">
        <f>IF(OR(C117="", D117=""), "", IFERROR(VLOOKUP(C117, '03_FOOD_DATABASE'!$B$5:$L$60, 11, FALSE)*D117/100, IFERROR(VLOOKUP(C117, '04_RECIPE_DATABASE'!$B$5:$M$20, 12, FALSE)*D117, 0)))</f>
        <v/>
      </c>
      <c r="K117" s="7" t="n"/>
      <c r="L117" s="58" t="n"/>
      <c r="N117" s="108" t="n">
        <v>46426</v>
      </c>
      <c r="O117" s="109">
        <f>TEXT(N117, "dddd")</f>
        <v/>
      </c>
      <c r="P117" s="110">
        <f>IF(U117=0, "", SUMIFS($F$5:$F$1500, $A$5:$A$1500, N117))</f>
        <v/>
      </c>
      <c r="Q117" s="111">
        <f>IF(U117=0, "", SUMIFS($G$5:$G$1500, $A$5:$A$1500, N117))</f>
        <v/>
      </c>
      <c r="R117" s="111">
        <f>IF(U117=0, "", SUMIFS($H$5:$H$1500, $A$5:$A$1500, N117))</f>
        <v/>
      </c>
      <c r="S117" s="111">
        <f>IF(U117=0, "", SUMIFS($I$5:$I$1500, $A$5:$A$1500, N117))</f>
        <v/>
      </c>
      <c r="T117" s="110">
        <f>IF(U117=0, "", SUMIFS($J$5:$J$1500, $A$5:$A$1500, N117))</f>
        <v/>
      </c>
      <c r="U117" s="112">
        <f>COUNTIFS($A$5:$A$1500, N117)</f>
        <v/>
      </c>
      <c r="V117" s="113">
        <f>IF(U117=0, "CHƯA NHẬP", IF(U117&lt;3, "INCOMPLETE (Chưa đủ bữa)", "COMPLETE (Đầy đủ)"))</f>
        <v/>
      </c>
      <c r="W117" s="114">
        <f>IF(P117="", "", P117/'02_NUTRITION_SETUP'!$C$20)</f>
        <v/>
      </c>
      <c r="X117" s="114">
        <f>IF(Q117="", "", Q117/'02_NUTRITION_SETUP'!$C$21)</f>
        <v/>
      </c>
    </row>
    <row r="118" ht="22" customHeight="1">
      <c r="A118" s="57" t="n"/>
      <c r="B118" s="7" t="n"/>
      <c r="C118" s="58" t="n"/>
      <c r="D118" s="58" t="n"/>
      <c r="E118" s="7" t="n"/>
      <c r="F118" s="106">
        <f>IF(OR(C118="", D118=""), "", IFERROR(VLOOKUP(C118, '03_FOOD_DATABASE'!$B$5:$L$60, 6, FALSE)*D118/100, IFERROR(VLOOKUP(C118, '04_RECIPE_DATABASE'!$B$5:$M$20, 8, FALSE)*D118, 0)))</f>
        <v/>
      </c>
      <c r="G118" s="107">
        <f>IF(OR(C118="", D118=""), "", IFERROR(VLOOKUP(C118, '03_FOOD_DATABASE'!$B$5:$L$60, 7, FALSE)*D118/100, IFERROR(VLOOKUP(C118, '04_RECIPE_DATABASE'!$B$5:$M$20, 9, FALSE)*D118, 0)))</f>
        <v/>
      </c>
      <c r="H118" s="107">
        <f>IF(OR(C118="", D118=""), "", IFERROR(VLOOKUP(C118, '03_FOOD_DATABASE'!$B$5:$L$60, 8, FALSE)*D118/100, IFERROR(VLOOKUP(C118, '04_RECIPE_DATABASE'!$B$5:$M$20, 10, FALSE)*D118, 0)))</f>
        <v/>
      </c>
      <c r="I118" s="107">
        <f>IF(OR(C118="", D118=""), "", IFERROR(VLOOKUP(C118, '03_FOOD_DATABASE'!$B$5:$L$60, 9, FALSE)*D118/100, IFERROR(VLOOKUP(C118, '04_RECIPE_DATABASE'!$B$5:$M$20, 11, FALSE)*D118, 0)))</f>
        <v/>
      </c>
      <c r="J118" s="106">
        <f>IF(OR(C118="", D118=""), "", IFERROR(VLOOKUP(C118, '03_FOOD_DATABASE'!$B$5:$L$60, 11, FALSE)*D118/100, IFERROR(VLOOKUP(C118, '04_RECIPE_DATABASE'!$B$5:$M$20, 12, FALSE)*D118, 0)))</f>
        <v/>
      </c>
      <c r="K118" s="7" t="n"/>
      <c r="L118" s="58" t="n"/>
      <c r="N118" s="108" t="n">
        <v>46427</v>
      </c>
      <c r="O118" s="109">
        <f>TEXT(N118, "dddd")</f>
        <v/>
      </c>
      <c r="P118" s="110">
        <f>IF(U118=0, "", SUMIFS($F$5:$F$1500, $A$5:$A$1500, N118))</f>
        <v/>
      </c>
      <c r="Q118" s="111">
        <f>IF(U118=0, "", SUMIFS($G$5:$G$1500, $A$5:$A$1500, N118))</f>
        <v/>
      </c>
      <c r="R118" s="111">
        <f>IF(U118=0, "", SUMIFS($H$5:$H$1500, $A$5:$A$1500, N118))</f>
        <v/>
      </c>
      <c r="S118" s="111">
        <f>IF(U118=0, "", SUMIFS($I$5:$I$1500, $A$5:$A$1500, N118))</f>
        <v/>
      </c>
      <c r="T118" s="110">
        <f>IF(U118=0, "", SUMIFS($J$5:$J$1500, $A$5:$A$1500, N118))</f>
        <v/>
      </c>
      <c r="U118" s="112">
        <f>COUNTIFS($A$5:$A$1500, N118)</f>
        <v/>
      </c>
      <c r="V118" s="113">
        <f>IF(U118=0, "CHƯA NHẬP", IF(U118&lt;3, "INCOMPLETE (Chưa đủ bữa)", "COMPLETE (Đầy đủ)"))</f>
        <v/>
      </c>
      <c r="W118" s="114">
        <f>IF(P118="", "", P118/'02_NUTRITION_SETUP'!$C$20)</f>
        <v/>
      </c>
      <c r="X118" s="114">
        <f>IF(Q118="", "", Q118/'02_NUTRITION_SETUP'!$C$21)</f>
        <v/>
      </c>
    </row>
    <row r="119" ht="22" customHeight="1">
      <c r="A119" s="57" t="n"/>
      <c r="B119" s="7" t="n"/>
      <c r="C119" s="58" t="n"/>
      <c r="D119" s="58" t="n"/>
      <c r="E119" s="7" t="n"/>
      <c r="F119" s="106">
        <f>IF(OR(C119="", D119=""), "", IFERROR(VLOOKUP(C119, '03_FOOD_DATABASE'!$B$5:$L$60, 6, FALSE)*D119/100, IFERROR(VLOOKUP(C119, '04_RECIPE_DATABASE'!$B$5:$M$20, 8, FALSE)*D119, 0)))</f>
        <v/>
      </c>
      <c r="G119" s="107">
        <f>IF(OR(C119="", D119=""), "", IFERROR(VLOOKUP(C119, '03_FOOD_DATABASE'!$B$5:$L$60, 7, FALSE)*D119/100, IFERROR(VLOOKUP(C119, '04_RECIPE_DATABASE'!$B$5:$M$20, 9, FALSE)*D119, 0)))</f>
        <v/>
      </c>
      <c r="H119" s="107">
        <f>IF(OR(C119="", D119=""), "", IFERROR(VLOOKUP(C119, '03_FOOD_DATABASE'!$B$5:$L$60, 8, FALSE)*D119/100, IFERROR(VLOOKUP(C119, '04_RECIPE_DATABASE'!$B$5:$M$20, 10, FALSE)*D119, 0)))</f>
        <v/>
      </c>
      <c r="I119" s="107">
        <f>IF(OR(C119="", D119=""), "", IFERROR(VLOOKUP(C119, '03_FOOD_DATABASE'!$B$5:$L$60, 9, FALSE)*D119/100, IFERROR(VLOOKUP(C119, '04_RECIPE_DATABASE'!$B$5:$M$20, 11, FALSE)*D119, 0)))</f>
        <v/>
      </c>
      <c r="J119" s="106">
        <f>IF(OR(C119="", D119=""), "", IFERROR(VLOOKUP(C119, '03_FOOD_DATABASE'!$B$5:$L$60, 11, FALSE)*D119/100, IFERROR(VLOOKUP(C119, '04_RECIPE_DATABASE'!$B$5:$M$20, 12, FALSE)*D119, 0)))</f>
        <v/>
      </c>
      <c r="K119" s="7" t="n"/>
      <c r="L119" s="58" t="n"/>
      <c r="N119" s="108" t="n">
        <v>46428</v>
      </c>
      <c r="O119" s="109">
        <f>TEXT(N119, "dddd")</f>
        <v/>
      </c>
      <c r="P119" s="110">
        <f>IF(U119=0, "", SUMIFS($F$5:$F$1500, $A$5:$A$1500, N119))</f>
        <v/>
      </c>
      <c r="Q119" s="111">
        <f>IF(U119=0, "", SUMIFS($G$5:$G$1500, $A$5:$A$1500, N119))</f>
        <v/>
      </c>
      <c r="R119" s="111">
        <f>IF(U119=0, "", SUMIFS($H$5:$H$1500, $A$5:$A$1500, N119))</f>
        <v/>
      </c>
      <c r="S119" s="111">
        <f>IF(U119=0, "", SUMIFS($I$5:$I$1500, $A$5:$A$1500, N119))</f>
        <v/>
      </c>
      <c r="T119" s="110">
        <f>IF(U119=0, "", SUMIFS($J$5:$J$1500, $A$5:$A$1500, N119))</f>
        <v/>
      </c>
      <c r="U119" s="112">
        <f>COUNTIFS($A$5:$A$1500, N119)</f>
        <v/>
      </c>
      <c r="V119" s="113">
        <f>IF(U119=0, "CHƯA NHẬP", IF(U119&lt;3, "INCOMPLETE (Chưa đủ bữa)", "COMPLETE (Đầy đủ)"))</f>
        <v/>
      </c>
      <c r="W119" s="114">
        <f>IF(P119="", "", P119/'02_NUTRITION_SETUP'!$C$20)</f>
        <v/>
      </c>
      <c r="X119" s="114">
        <f>IF(Q119="", "", Q119/'02_NUTRITION_SETUP'!$C$21)</f>
        <v/>
      </c>
    </row>
    <row r="120" ht="22" customHeight="1">
      <c r="A120" s="57" t="n"/>
      <c r="B120" s="7" t="n"/>
      <c r="C120" s="58" t="n"/>
      <c r="D120" s="58" t="n"/>
      <c r="E120" s="7" t="n"/>
      <c r="F120" s="106">
        <f>IF(OR(C120="", D120=""), "", IFERROR(VLOOKUP(C120, '03_FOOD_DATABASE'!$B$5:$L$60, 6, FALSE)*D120/100, IFERROR(VLOOKUP(C120, '04_RECIPE_DATABASE'!$B$5:$M$20, 8, FALSE)*D120, 0)))</f>
        <v/>
      </c>
      <c r="G120" s="107">
        <f>IF(OR(C120="", D120=""), "", IFERROR(VLOOKUP(C120, '03_FOOD_DATABASE'!$B$5:$L$60, 7, FALSE)*D120/100, IFERROR(VLOOKUP(C120, '04_RECIPE_DATABASE'!$B$5:$M$20, 9, FALSE)*D120, 0)))</f>
        <v/>
      </c>
      <c r="H120" s="107">
        <f>IF(OR(C120="", D120=""), "", IFERROR(VLOOKUP(C120, '03_FOOD_DATABASE'!$B$5:$L$60, 8, FALSE)*D120/100, IFERROR(VLOOKUP(C120, '04_RECIPE_DATABASE'!$B$5:$M$20, 10, FALSE)*D120, 0)))</f>
        <v/>
      </c>
      <c r="I120" s="107">
        <f>IF(OR(C120="", D120=""), "", IFERROR(VLOOKUP(C120, '03_FOOD_DATABASE'!$B$5:$L$60, 9, FALSE)*D120/100, IFERROR(VLOOKUP(C120, '04_RECIPE_DATABASE'!$B$5:$M$20, 11, FALSE)*D120, 0)))</f>
        <v/>
      </c>
      <c r="J120" s="106">
        <f>IF(OR(C120="", D120=""), "", IFERROR(VLOOKUP(C120, '03_FOOD_DATABASE'!$B$5:$L$60, 11, FALSE)*D120/100, IFERROR(VLOOKUP(C120, '04_RECIPE_DATABASE'!$B$5:$M$20, 12, FALSE)*D120, 0)))</f>
        <v/>
      </c>
      <c r="K120" s="7" t="n"/>
      <c r="L120" s="58" t="n"/>
      <c r="N120" s="108" t="n">
        <v>46429</v>
      </c>
      <c r="O120" s="109">
        <f>TEXT(N120, "dddd")</f>
        <v/>
      </c>
      <c r="P120" s="110">
        <f>IF(U120=0, "", SUMIFS($F$5:$F$1500, $A$5:$A$1500, N120))</f>
        <v/>
      </c>
      <c r="Q120" s="111">
        <f>IF(U120=0, "", SUMIFS($G$5:$G$1500, $A$5:$A$1500, N120))</f>
        <v/>
      </c>
      <c r="R120" s="111">
        <f>IF(U120=0, "", SUMIFS($H$5:$H$1500, $A$5:$A$1500, N120))</f>
        <v/>
      </c>
      <c r="S120" s="111">
        <f>IF(U120=0, "", SUMIFS($I$5:$I$1500, $A$5:$A$1500, N120))</f>
        <v/>
      </c>
      <c r="T120" s="110">
        <f>IF(U120=0, "", SUMIFS($J$5:$J$1500, $A$5:$A$1500, N120))</f>
        <v/>
      </c>
      <c r="U120" s="112">
        <f>COUNTIFS($A$5:$A$1500, N120)</f>
        <v/>
      </c>
      <c r="V120" s="113">
        <f>IF(U120=0, "CHƯA NHẬP", IF(U120&lt;3, "INCOMPLETE (Chưa đủ bữa)", "COMPLETE (Đầy đủ)"))</f>
        <v/>
      </c>
      <c r="W120" s="114">
        <f>IF(P120="", "", P120/'02_NUTRITION_SETUP'!$C$20)</f>
        <v/>
      </c>
      <c r="X120" s="114">
        <f>IF(Q120="", "", Q120/'02_NUTRITION_SETUP'!$C$21)</f>
        <v/>
      </c>
    </row>
    <row r="121" ht="22" customHeight="1">
      <c r="A121" s="57" t="n"/>
      <c r="B121" s="7" t="n"/>
      <c r="C121" s="58" t="n"/>
      <c r="D121" s="58" t="n"/>
      <c r="E121" s="7" t="n"/>
      <c r="F121" s="106">
        <f>IF(OR(C121="", D121=""), "", IFERROR(VLOOKUP(C121, '03_FOOD_DATABASE'!$B$5:$L$60, 6, FALSE)*D121/100, IFERROR(VLOOKUP(C121, '04_RECIPE_DATABASE'!$B$5:$M$20, 8, FALSE)*D121, 0)))</f>
        <v/>
      </c>
      <c r="G121" s="107">
        <f>IF(OR(C121="", D121=""), "", IFERROR(VLOOKUP(C121, '03_FOOD_DATABASE'!$B$5:$L$60, 7, FALSE)*D121/100, IFERROR(VLOOKUP(C121, '04_RECIPE_DATABASE'!$B$5:$M$20, 9, FALSE)*D121, 0)))</f>
        <v/>
      </c>
      <c r="H121" s="107">
        <f>IF(OR(C121="", D121=""), "", IFERROR(VLOOKUP(C121, '03_FOOD_DATABASE'!$B$5:$L$60, 8, FALSE)*D121/100, IFERROR(VLOOKUP(C121, '04_RECIPE_DATABASE'!$B$5:$M$20, 10, FALSE)*D121, 0)))</f>
        <v/>
      </c>
      <c r="I121" s="107">
        <f>IF(OR(C121="", D121=""), "", IFERROR(VLOOKUP(C121, '03_FOOD_DATABASE'!$B$5:$L$60, 9, FALSE)*D121/100, IFERROR(VLOOKUP(C121, '04_RECIPE_DATABASE'!$B$5:$M$20, 11, FALSE)*D121, 0)))</f>
        <v/>
      </c>
      <c r="J121" s="106">
        <f>IF(OR(C121="", D121=""), "", IFERROR(VLOOKUP(C121, '03_FOOD_DATABASE'!$B$5:$L$60, 11, FALSE)*D121/100, IFERROR(VLOOKUP(C121, '04_RECIPE_DATABASE'!$B$5:$M$20, 12, FALSE)*D121, 0)))</f>
        <v/>
      </c>
      <c r="K121" s="7" t="n"/>
      <c r="L121" s="58" t="n"/>
      <c r="N121" s="108" t="n">
        <v>46430</v>
      </c>
      <c r="O121" s="109">
        <f>TEXT(N121, "dddd")</f>
        <v/>
      </c>
      <c r="P121" s="110">
        <f>IF(U121=0, "", SUMIFS($F$5:$F$1500, $A$5:$A$1500, N121))</f>
        <v/>
      </c>
      <c r="Q121" s="111">
        <f>IF(U121=0, "", SUMIFS($G$5:$G$1500, $A$5:$A$1500, N121))</f>
        <v/>
      </c>
      <c r="R121" s="111">
        <f>IF(U121=0, "", SUMIFS($H$5:$H$1500, $A$5:$A$1500, N121))</f>
        <v/>
      </c>
      <c r="S121" s="111">
        <f>IF(U121=0, "", SUMIFS($I$5:$I$1500, $A$5:$A$1500, N121))</f>
        <v/>
      </c>
      <c r="T121" s="110">
        <f>IF(U121=0, "", SUMIFS($J$5:$J$1500, $A$5:$A$1500, N121))</f>
        <v/>
      </c>
      <c r="U121" s="112">
        <f>COUNTIFS($A$5:$A$1500, N121)</f>
        <v/>
      </c>
      <c r="V121" s="113">
        <f>IF(U121=0, "CHƯA NHẬP", IF(U121&lt;3, "INCOMPLETE (Chưa đủ bữa)", "COMPLETE (Đầy đủ)"))</f>
        <v/>
      </c>
      <c r="W121" s="114">
        <f>IF(P121="", "", P121/'02_NUTRITION_SETUP'!$C$20)</f>
        <v/>
      </c>
      <c r="X121" s="114">
        <f>IF(Q121="", "", Q121/'02_NUTRITION_SETUP'!$C$21)</f>
        <v/>
      </c>
    </row>
    <row r="122" ht="22" customHeight="1">
      <c r="A122" s="57" t="n"/>
      <c r="B122" s="7" t="n"/>
      <c r="C122" s="58" t="n"/>
      <c r="D122" s="58" t="n"/>
      <c r="E122" s="7" t="n"/>
      <c r="F122" s="106">
        <f>IF(OR(C122="", D122=""), "", IFERROR(VLOOKUP(C122, '03_FOOD_DATABASE'!$B$5:$L$60, 6, FALSE)*D122/100, IFERROR(VLOOKUP(C122, '04_RECIPE_DATABASE'!$B$5:$M$20, 8, FALSE)*D122, 0)))</f>
        <v/>
      </c>
      <c r="G122" s="107">
        <f>IF(OR(C122="", D122=""), "", IFERROR(VLOOKUP(C122, '03_FOOD_DATABASE'!$B$5:$L$60, 7, FALSE)*D122/100, IFERROR(VLOOKUP(C122, '04_RECIPE_DATABASE'!$B$5:$M$20, 9, FALSE)*D122, 0)))</f>
        <v/>
      </c>
      <c r="H122" s="107">
        <f>IF(OR(C122="", D122=""), "", IFERROR(VLOOKUP(C122, '03_FOOD_DATABASE'!$B$5:$L$60, 8, FALSE)*D122/100, IFERROR(VLOOKUP(C122, '04_RECIPE_DATABASE'!$B$5:$M$20, 10, FALSE)*D122, 0)))</f>
        <v/>
      </c>
      <c r="I122" s="107">
        <f>IF(OR(C122="", D122=""), "", IFERROR(VLOOKUP(C122, '03_FOOD_DATABASE'!$B$5:$L$60, 9, FALSE)*D122/100, IFERROR(VLOOKUP(C122, '04_RECIPE_DATABASE'!$B$5:$M$20, 11, FALSE)*D122, 0)))</f>
        <v/>
      </c>
      <c r="J122" s="106">
        <f>IF(OR(C122="", D122=""), "", IFERROR(VLOOKUP(C122, '03_FOOD_DATABASE'!$B$5:$L$60, 11, FALSE)*D122/100, IFERROR(VLOOKUP(C122, '04_RECIPE_DATABASE'!$B$5:$M$20, 12, FALSE)*D122, 0)))</f>
        <v/>
      </c>
      <c r="K122" s="7" t="n"/>
      <c r="L122" s="58" t="n"/>
      <c r="N122" s="108" t="n">
        <v>46431</v>
      </c>
      <c r="O122" s="109">
        <f>TEXT(N122, "dddd")</f>
        <v/>
      </c>
      <c r="P122" s="110">
        <f>IF(U122=0, "", SUMIFS($F$5:$F$1500, $A$5:$A$1500, N122))</f>
        <v/>
      </c>
      <c r="Q122" s="111">
        <f>IF(U122=0, "", SUMIFS($G$5:$G$1500, $A$5:$A$1500, N122))</f>
        <v/>
      </c>
      <c r="R122" s="111">
        <f>IF(U122=0, "", SUMIFS($H$5:$H$1500, $A$5:$A$1500, N122))</f>
        <v/>
      </c>
      <c r="S122" s="111">
        <f>IF(U122=0, "", SUMIFS($I$5:$I$1500, $A$5:$A$1500, N122))</f>
        <v/>
      </c>
      <c r="T122" s="110">
        <f>IF(U122=0, "", SUMIFS($J$5:$J$1500, $A$5:$A$1500, N122))</f>
        <v/>
      </c>
      <c r="U122" s="112">
        <f>COUNTIFS($A$5:$A$1500, N122)</f>
        <v/>
      </c>
      <c r="V122" s="113">
        <f>IF(U122=0, "CHƯA NHẬP", IF(U122&lt;3, "INCOMPLETE (Chưa đủ bữa)", "COMPLETE (Đầy đủ)"))</f>
        <v/>
      </c>
      <c r="W122" s="114">
        <f>IF(P122="", "", P122/'02_NUTRITION_SETUP'!$C$20)</f>
        <v/>
      </c>
      <c r="X122" s="114">
        <f>IF(Q122="", "", Q122/'02_NUTRITION_SETUP'!$C$21)</f>
        <v/>
      </c>
    </row>
    <row r="123" ht="22" customHeight="1">
      <c r="A123" s="57" t="n"/>
      <c r="B123" s="7" t="n"/>
      <c r="C123" s="58" t="n"/>
      <c r="D123" s="58" t="n"/>
      <c r="E123" s="7" t="n"/>
      <c r="F123" s="106">
        <f>IF(OR(C123="", D123=""), "", IFERROR(VLOOKUP(C123, '03_FOOD_DATABASE'!$B$5:$L$60, 6, FALSE)*D123/100, IFERROR(VLOOKUP(C123, '04_RECIPE_DATABASE'!$B$5:$M$20, 8, FALSE)*D123, 0)))</f>
        <v/>
      </c>
      <c r="G123" s="107">
        <f>IF(OR(C123="", D123=""), "", IFERROR(VLOOKUP(C123, '03_FOOD_DATABASE'!$B$5:$L$60, 7, FALSE)*D123/100, IFERROR(VLOOKUP(C123, '04_RECIPE_DATABASE'!$B$5:$M$20, 9, FALSE)*D123, 0)))</f>
        <v/>
      </c>
      <c r="H123" s="107">
        <f>IF(OR(C123="", D123=""), "", IFERROR(VLOOKUP(C123, '03_FOOD_DATABASE'!$B$5:$L$60, 8, FALSE)*D123/100, IFERROR(VLOOKUP(C123, '04_RECIPE_DATABASE'!$B$5:$M$20, 10, FALSE)*D123, 0)))</f>
        <v/>
      </c>
      <c r="I123" s="107">
        <f>IF(OR(C123="", D123=""), "", IFERROR(VLOOKUP(C123, '03_FOOD_DATABASE'!$B$5:$L$60, 9, FALSE)*D123/100, IFERROR(VLOOKUP(C123, '04_RECIPE_DATABASE'!$B$5:$M$20, 11, FALSE)*D123, 0)))</f>
        <v/>
      </c>
      <c r="J123" s="106">
        <f>IF(OR(C123="", D123=""), "", IFERROR(VLOOKUP(C123, '03_FOOD_DATABASE'!$B$5:$L$60, 11, FALSE)*D123/100, IFERROR(VLOOKUP(C123, '04_RECIPE_DATABASE'!$B$5:$M$20, 12, FALSE)*D123, 0)))</f>
        <v/>
      </c>
      <c r="K123" s="7" t="n"/>
      <c r="L123" s="58" t="n"/>
      <c r="N123" s="108" t="n">
        <v>46432</v>
      </c>
      <c r="O123" s="109">
        <f>TEXT(N123, "dddd")</f>
        <v/>
      </c>
      <c r="P123" s="110">
        <f>IF(U123=0, "", SUMIFS($F$5:$F$1500, $A$5:$A$1500, N123))</f>
        <v/>
      </c>
      <c r="Q123" s="111">
        <f>IF(U123=0, "", SUMIFS($G$5:$G$1500, $A$5:$A$1500, N123))</f>
        <v/>
      </c>
      <c r="R123" s="111">
        <f>IF(U123=0, "", SUMIFS($H$5:$H$1500, $A$5:$A$1500, N123))</f>
        <v/>
      </c>
      <c r="S123" s="111">
        <f>IF(U123=0, "", SUMIFS($I$5:$I$1500, $A$5:$A$1500, N123))</f>
        <v/>
      </c>
      <c r="T123" s="110">
        <f>IF(U123=0, "", SUMIFS($J$5:$J$1500, $A$5:$A$1500, N123))</f>
        <v/>
      </c>
      <c r="U123" s="112">
        <f>COUNTIFS($A$5:$A$1500, N123)</f>
        <v/>
      </c>
      <c r="V123" s="113">
        <f>IF(U123=0, "CHƯA NHẬP", IF(U123&lt;3, "INCOMPLETE (Chưa đủ bữa)", "COMPLETE (Đầy đủ)"))</f>
        <v/>
      </c>
      <c r="W123" s="114">
        <f>IF(P123="", "", P123/'02_NUTRITION_SETUP'!$C$20)</f>
        <v/>
      </c>
      <c r="X123" s="114">
        <f>IF(Q123="", "", Q123/'02_NUTRITION_SETUP'!$C$21)</f>
        <v/>
      </c>
    </row>
    <row r="124" ht="22" customHeight="1">
      <c r="A124" s="57" t="n"/>
      <c r="B124" s="7" t="n"/>
      <c r="C124" s="58" t="n"/>
      <c r="D124" s="58" t="n"/>
      <c r="E124" s="7" t="n"/>
      <c r="F124" s="106">
        <f>IF(OR(C124="", D124=""), "", IFERROR(VLOOKUP(C124, '03_FOOD_DATABASE'!$B$5:$L$60, 6, FALSE)*D124/100, IFERROR(VLOOKUP(C124, '04_RECIPE_DATABASE'!$B$5:$M$20, 8, FALSE)*D124, 0)))</f>
        <v/>
      </c>
      <c r="G124" s="107">
        <f>IF(OR(C124="", D124=""), "", IFERROR(VLOOKUP(C124, '03_FOOD_DATABASE'!$B$5:$L$60, 7, FALSE)*D124/100, IFERROR(VLOOKUP(C124, '04_RECIPE_DATABASE'!$B$5:$M$20, 9, FALSE)*D124, 0)))</f>
        <v/>
      </c>
      <c r="H124" s="107">
        <f>IF(OR(C124="", D124=""), "", IFERROR(VLOOKUP(C124, '03_FOOD_DATABASE'!$B$5:$L$60, 8, FALSE)*D124/100, IFERROR(VLOOKUP(C124, '04_RECIPE_DATABASE'!$B$5:$M$20, 10, FALSE)*D124, 0)))</f>
        <v/>
      </c>
      <c r="I124" s="107">
        <f>IF(OR(C124="", D124=""), "", IFERROR(VLOOKUP(C124, '03_FOOD_DATABASE'!$B$5:$L$60, 9, FALSE)*D124/100, IFERROR(VLOOKUP(C124, '04_RECIPE_DATABASE'!$B$5:$M$20, 11, FALSE)*D124, 0)))</f>
        <v/>
      </c>
      <c r="J124" s="106">
        <f>IF(OR(C124="", D124=""), "", IFERROR(VLOOKUP(C124, '03_FOOD_DATABASE'!$B$5:$L$60, 11, FALSE)*D124/100, IFERROR(VLOOKUP(C124, '04_RECIPE_DATABASE'!$B$5:$M$20, 12, FALSE)*D124, 0)))</f>
        <v/>
      </c>
      <c r="K124" s="7" t="n"/>
      <c r="L124" s="58" t="n"/>
      <c r="N124" s="108" t="n">
        <v>46433</v>
      </c>
      <c r="O124" s="109">
        <f>TEXT(N124, "dddd")</f>
        <v/>
      </c>
      <c r="P124" s="110">
        <f>IF(U124=0, "", SUMIFS($F$5:$F$1500, $A$5:$A$1500, N124))</f>
        <v/>
      </c>
      <c r="Q124" s="111">
        <f>IF(U124=0, "", SUMIFS($G$5:$G$1500, $A$5:$A$1500, N124))</f>
        <v/>
      </c>
      <c r="R124" s="111">
        <f>IF(U124=0, "", SUMIFS($H$5:$H$1500, $A$5:$A$1500, N124))</f>
        <v/>
      </c>
      <c r="S124" s="111">
        <f>IF(U124=0, "", SUMIFS($I$5:$I$1500, $A$5:$A$1500, N124))</f>
        <v/>
      </c>
      <c r="T124" s="110">
        <f>IF(U124=0, "", SUMIFS($J$5:$J$1500, $A$5:$A$1500, N124))</f>
        <v/>
      </c>
      <c r="U124" s="112">
        <f>COUNTIFS($A$5:$A$1500, N124)</f>
        <v/>
      </c>
      <c r="V124" s="113">
        <f>IF(U124=0, "CHƯA NHẬP", IF(U124&lt;3, "INCOMPLETE (Chưa đủ bữa)", "COMPLETE (Đầy đủ)"))</f>
        <v/>
      </c>
      <c r="W124" s="114">
        <f>IF(P124="", "", P124/'02_NUTRITION_SETUP'!$C$20)</f>
        <v/>
      </c>
      <c r="X124" s="114">
        <f>IF(Q124="", "", Q124/'02_NUTRITION_SETUP'!$C$21)</f>
        <v/>
      </c>
    </row>
    <row r="125" ht="22" customHeight="1">
      <c r="A125" s="57" t="n"/>
      <c r="B125" s="7" t="n"/>
      <c r="C125" s="58" t="n"/>
      <c r="D125" s="58" t="n"/>
      <c r="E125" s="7" t="n"/>
      <c r="F125" s="106">
        <f>IF(OR(C125="", D125=""), "", IFERROR(VLOOKUP(C125, '03_FOOD_DATABASE'!$B$5:$L$60, 6, FALSE)*D125/100, IFERROR(VLOOKUP(C125, '04_RECIPE_DATABASE'!$B$5:$M$20, 8, FALSE)*D125, 0)))</f>
        <v/>
      </c>
      <c r="G125" s="107">
        <f>IF(OR(C125="", D125=""), "", IFERROR(VLOOKUP(C125, '03_FOOD_DATABASE'!$B$5:$L$60, 7, FALSE)*D125/100, IFERROR(VLOOKUP(C125, '04_RECIPE_DATABASE'!$B$5:$M$20, 9, FALSE)*D125, 0)))</f>
        <v/>
      </c>
      <c r="H125" s="107">
        <f>IF(OR(C125="", D125=""), "", IFERROR(VLOOKUP(C125, '03_FOOD_DATABASE'!$B$5:$L$60, 8, FALSE)*D125/100, IFERROR(VLOOKUP(C125, '04_RECIPE_DATABASE'!$B$5:$M$20, 10, FALSE)*D125, 0)))</f>
        <v/>
      </c>
      <c r="I125" s="107">
        <f>IF(OR(C125="", D125=""), "", IFERROR(VLOOKUP(C125, '03_FOOD_DATABASE'!$B$5:$L$60, 9, FALSE)*D125/100, IFERROR(VLOOKUP(C125, '04_RECIPE_DATABASE'!$B$5:$M$20, 11, FALSE)*D125, 0)))</f>
        <v/>
      </c>
      <c r="J125" s="106">
        <f>IF(OR(C125="", D125=""), "", IFERROR(VLOOKUP(C125, '03_FOOD_DATABASE'!$B$5:$L$60, 11, FALSE)*D125/100, IFERROR(VLOOKUP(C125, '04_RECIPE_DATABASE'!$B$5:$M$20, 12, FALSE)*D125, 0)))</f>
        <v/>
      </c>
      <c r="K125" s="7" t="n"/>
      <c r="L125" s="58" t="n"/>
      <c r="N125" s="108" t="n">
        <v>46434</v>
      </c>
      <c r="O125" s="109">
        <f>TEXT(N125, "dddd")</f>
        <v/>
      </c>
      <c r="P125" s="110">
        <f>IF(U125=0, "", SUMIFS($F$5:$F$1500, $A$5:$A$1500, N125))</f>
        <v/>
      </c>
      <c r="Q125" s="111">
        <f>IF(U125=0, "", SUMIFS($G$5:$G$1500, $A$5:$A$1500, N125))</f>
        <v/>
      </c>
      <c r="R125" s="111">
        <f>IF(U125=0, "", SUMIFS($H$5:$H$1500, $A$5:$A$1500, N125))</f>
        <v/>
      </c>
      <c r="S125" s="111">
        <f>IF(U125=0, "", SUMIFS($I$5:$I$1500, $A$5:$A$1500, N125))</f>
        <v/>
      </c>
      <c r="T125" s="110">
        <f>IF(U125=0, "", SUMIFS($J$5:$J$1500, $A$5:$A$1500, N125))</f>
        <v/>
      </c>
      <c r="U125" s="112">
        <f>COUNTIFS($A$5:$A$1500, N125)</f>
        <v/>
      </c>
      <c r="V125" s="113">
        <f>IF(U125=0, "CHƯA NHẬP", IF(U125&lt;3, "INCOMPLETE (Chưa đủ bữa)", "COMPLETE (Đầy đủ)"))</f>
        <v/>
      </c>
      <c r="W125" s="114">
        <f>IF(P125="", "", P125/'02_NUTRITION_SETUP'!$C$20)</f>
        <v/>
      </c>
      <c r="X125" s="114">
        <f>IF(Q125="", "", Q125/'02_NUTRITION_SETUP'!$C$21)</f>
        <v/>
      </c>
    </row>
    <row r="126" ht="22" customHeight="1">
      <c r="A126" s="57" t="n"/>
      <c r="B126" s="7" t="n"/>
      <c r="C126" s="58" t="n"/>
      <c r="D126" s="58" t="n"/>
      <c r="E126" s="7" t="n"/>
      <c r="F126" s="106">
        <f>IF(OR(C126="", D126=""), "", IFERROR(VLOOKUP(C126, '03_FOOD_DATABASE'!$B$5:$L$60, 6, FALSE)*D126/100, IFERROR(VLOOKUP(C126, '04_RECIPE_DATABASE'!$B$5:$M$20, 8, FALSE)*D126, 0)))</f>
        <v/>
      </c>
      <c r="G126" s="107">
        <f>IF(OR(C126="", D126=""), "", IFERROR(VLOOKUP(C126, '03_FOOD_DATABASE'!$B$5:$L$60, 7, FALSE)*D126/100, IFERROR(VLOOKUP(C126, '04_RECIPE_DATABASE'!$B$5:$M$20, 9, FALSE)*D126, 0)))</f>
        <v/>
      </c>
      <c r="H126" s="107">
        <f>IF(OR(C126="", D126=""), "", IFERROR(VLOOKUP(C126, '03_FOOD_DATABASE'!$B$5:$L$60, 8, FALSE)*D126/100, IFERROR(VLOOKUP(C126, '04_RECIPE_DATABASE'!$B$5:$M$20, 10, FALSE)*D126, 0)))</f>
        <v/>
      </c>
      <c r="I126" s="107">
        <f>IF(OR(C126="", D126=""), "", IFERROR(VLOOKUP(C126, '03_FOOD_DATABASE'!$B$5:$L$60, 9, FALSE)*D126/100, IFERROR(VLOOKUP(C126, '04_RECIPE_DATABASE'!$B$5:$M$20, 11, FALSE)*D126, 0)))</f>
        <v/>
      </c>
      <c r="J126" s="106">
        <f>IF(OR(C126="", D126=""), "", IFERROR(VLOOKUP(C126, '03_FOOD_DATABASE'!$B$5:$L$60, 11, FALSE)*D126/100, IFERROR(VLOOKUP(C126, '04_RECIPE_DATABASE'!$B$5:$M$20, 12, FALSE)*D126, 0)))</f>
        <v/>
      </c>
      <c r="K126" s="7" t="n"/>
      <c r="L126" s="58" t="n"/>
      <c r="N126" s="108" t="n">
        <v>46435</v>
      </c>
      <c r="O126" s="109">
        <f>TEXT(N126, "dddd")</f>
        <v/>
      </c>
      <c r="P126" s="110">
        <f>IF(U126=0, "", SUMIFS($F$5:$F$1500, $A$5:$A$1500, N126))</f>
        <v/>
      </c>
      <c r="Q126" s="111">
        <f>IF(U126=0, "", SUMIFS($G$5:$G$1500, $A$5:$A$1500, N126))</f>
        <v/>
      </c>
      <c r="R126" s="111">
        <f>IF(U126=0, "", SUMIFS($H$5:$H$1500, $A$5:$A$1500, N126))</f>
        <v/>
      </c>
      <c r="S126" s="111">
        <f>IF(U126=0, "", SUMIFS($I$5:$I$1500, $A$5:$A$1500, N126))</f>
        <v/>
      </c>
      <c r="T126" s="110">
        <f>IF(U126=0, "", SUMIFS($J$5:$J$1500, $A$5:$A$1500, N126))</f>
        <v/>
      </c>
      <c r="U126" s="112">
        <f>COUNTIFS($A$5:$A$1500, N126)</f>
        <v/>
      </c>
      <c r="V126" s="113">
        <f>IF(U126=0, "CHƯA NHẬP", IF(U126&lt;3, "INCOMPLETE (Chưa đủ bữa)", "COMPLETE (Đầy đủ)"))</f>
        <v/>
      </c>
      <c r="W126" s="114">
        <f>IF(P126="", "", P126/'02_NUTRITION_SETUP'!$C$20)</f>
        <v/>
      </c>
      <c r="X126" s="114">
        <f>IF(Q126="", "", Q126/'02_NUTRITION_SETUP'!$C$21)</f>
        <v/>
      </c>
    </row>
    <row r="127" ht="22" customHeight="1">
      <c r="A127" s="57" t="n"/>
      <c r="B127" s="7" t="n"/>
      <c r="C127" s="58" t="n"/>
      <c r="D127" s="58" t="n"/>
      <c r="E127" s="7" t="n"/>
      <c r="F127" s="106">
        <f>IF(OR(C127="", D127=""), "", IFERROR(VLOOKUP(C127, '03_FOOD_DATABASE'!$B$5:$L$60, 6, FALSE)*D127/100, IFERROR(VLOOKUP(C127, '04_RECIPE_DATABASE'!$B$5:$M$20, 8, FALSE)*D127, 0)))</f>
        <v/>
      </c>
      <c r="G127" s="107">
        <f>IF(OR(C127="", D127=""), "", IFERROR(VLOOKUP(C127, '03_FOOD_DATABASE'!$B$5:$L$60, 7, FALSE)*D127/100, IFERROR(VLOOKUP(C127, '04_RECIPE_DATABASE'!$B$5:$M$20, 9, FALSE)*D127, 0)))</f>
        <v/>
      </c>
      <c r="H127" s="107">
        <f>IF(OR(C127="", D127=""), "", IFERROR(VLOOKUP(C127, '03_FOOD_DATABASE'!$B$5:$L$60, 8, FALSE)*D127/100, IFERROR(VLOOKUP(C127, '04_RECIPE_DATABASE'!$B$5:$M$20, 10, FALSE)*D127, 0)))</f>
        <v/>
      </c>
      <c r="I127" s="107">
        <f>IF(OR(C127="", D127=""), "", IFERROR(VLOOKUP(C127, '03_FOOD_DATABASE'!$B$5:$L$60, 9, FALSE)*D127/100, IFERROR(VLOOKUP(C127, '04_RECIPE_DATABASE'!$B$5:$M$20, 11, FALSE)*D127, 0)))</f>
        <v/>
      </c>
      <c r="J127" s="106">
        <f>IF(OR(C127="", D127=""), "", IFERROR(VLOOKUP(C127, '03_FOOD_DATABASE'!$B$5:$L$60, 11, FALSE)*D127/100, IFERROR(VLOOKUP(C127, '04_RECIPE_DATABASE'!$B$5:$M$20, 12, FALSE)*D127, 0)))</f>
        <v/>
      </c>
      <c r="K127" s="7" t="n"/>
      <c r="L127" s="58" t="n"/>
      <c r="N127" s="108" t="n">
        <v>46436</v>
      </c>
      <c r="O127" s="109">
        <f>TEXT(N127, "dddd")</f>
        <v/>
      </c>
      <c r="P127" s="110">
        <f>IF(U127=0, "", SUMIFS($F$5:$F$1500, $A$5:$A$1500, N127))</f>
        <v/>
      </c>
      <c r="Q127" s="111">
        <f>IF(U127=0, "", SUMIFS($G$5:$G$1500, $A$5:$A$1500, N127))</f>
        <v/>
      </c>
      <c r="R127" s="111">
        <f>IF(U127=0, "", SUMIFS($H$5:$H$1500, $A$5:$A$1500, N127))</f>
        <v/>
      </c>
      <c r="S127" s="111">
        <f>IF(U127=0, "", SUMIFS($I$5:$I$1500, $A$5:$A$1500, N127))</f>
        <v/>
      </c>
      <c r="T127" s="110">
        <f>IF(U127=0, "", SUMIFS($J$5:$J$1500, $A$5:$A$1500, N127))</f>
        <v/>
      </c>
      <c r="U127" s="112">
        <f>COUNTIFS($A$5:$A$1500, N127)</f>
        <v/>
      </c>
      <c r="V127" s="113">
        <f>IF(U127=0, "CHƯA NHẬP", IF(U127&lt;3, "INCOMPLETE (Chưa đủ bữa)", "COMPLETE (Đầy đủ)"))</f>
        <v/>
      </c>
      <c r="W127" s="114">
        <f>IF(P127="", "", P127/'02_NUTRITION_SETUP'!$C$20)</f>
        <v/>
      </c>
      <c r="X127" s="114">
        <f>IF(Q127="", "", Q127/'02_NUTRITION_SETUP'!$C$21)</f>
        <v/>
      </c>
    </row>
    <row r="128" ht="22" customHeight="1">
      <c r="A128" s="57" t="n"/>
      <c r="B128" s="7" t="n"/>
      <c r="C128" s="58" t="n"/>
      <c r="D128" s="58" t="n"/>
      <c r="E128" s="7" t="n"/>
      <c r="F128" s="106">
        <f>IF(OR(C128="", D128=""), "", IFERROR(VLOOKUP(C128, '03_FOOD_DATABASE'!$B$5:$L$60, 6, FALSE)*D128/100, IFERROR(VLOOKUP(C128, '04_RECIPE_DATABASE'!$B$5:$M$20, 8, FALSE)*D128, 0)))</f>
        <v/>
      </c>
      <c r="G128" s="107">
        <f>IF(OR(C128="", D128=""), "", IFERROR(VLOOKUP(C128, '03_FOOD_DATABASE'!$B$5:$L$60, 7, FALSE)*D128/100, IFERROR(VLOOKUP(C128, '04_RECIPE_DATABASE'!$B$5:$M$20, 9, FALSE)*D128, 0)))</f>
        <v/>
      </c>
      <c r="H128" s="107">
        <f>IF(OR(C128="", D128=""), "", IFERROR(VLOOKUP(C128, '03_FOOD_DATABASE'!$B$5:$L$60, 8, FALSE)*D128/100, IFERROR(VLOOKUP(C128, '04_RECIPE_DATABASE'!$B$5:$M$20, 10, FALSE)*D128, 0)))</f>
        <v/>
      </c>
      <c r="I128" s="107">
        <f>IF(OR(C128="", D128=""), "", IFERROR(VLOOKUP(C128, '03_FOOD_DATABASE'!$B$5:$L$60, 9, FALSE)*D128/100, IFERROR(VLOOKUP(C128, '04_RECIPE_DATABASE'!$B$5:$M$20, 11, FALSE)*D128, 0)))</f>
        <v/>
      </c>
      <c r="J128" s="106">
        <f>IF(OR(C128="", D128=""), "", IFERROR(VLOOKUP(C128, '03_FOOD_DATABASE'!$B$5:$L$60, 11, FALSE)*D128/100, IFERROR(VLOOKUP(C128, '04_RECIPE_DATABASE'!$B$5:$M$20, 12, FALSE)*D128, 0)))</f>
        <v/>
      </c>
      <c r="K128" s="7" t="n"/>
      <c r="L128" s="58" t="n"/>
      <c r="N128" s="108" t="n">
        <v>46437</v>
      </c>
      <c r="O128" s="109">
        <f>TEXT(N128, "dddd")</f>
        <v/>
      </c>
      <c r="P128" s="110">
        <f>IF(U128=0, "", SUMIFS($F$5:$F$1500, $A$5:$A$1500, N128))</f>
        <v/>
      </c>
      <c r="Q128" s="111">
        <f>IF(U128=0, "", SUMIFS($G$5:$G$1500, $A$5:$A$1500, N128))</f>
        <v/>
      </c>
      <c r="R128" s="111">
        <f>IF(U128=0, "", SUMIFS($H$5:$H$1500, $A$5:$A$1500, N128))</f>
        <v/>
      </c>
      <c r="S128" s="111">
        <f>IF(U128=0, "", SUMIFS($I$5:$I$1500, $A$5:$A$1500, N128))</f>
        <v/>
      </c>
      <c r="T128" s="110">
        <f>IF(U128=0, "", SUMIFS($J$5:$J$1500, $A$5:$A$1500, N128))</f>
        <v/>
      </c>
      <c r="U128" s="112">
        <f>COUNTIFS($A$5:$A$1500, N128)</f>
        <v/>
      </c>
      <c r="V128" s="113">
        <f>IF(U128=0, "CHƯA NHẬP", IF(U128&lt;3, "INCOMPLETE (Chưa đủ bữa)", "COMPLETE (Đầy đủ)"))</f>
        <v/>
      </c>
      <c r="W128" s="114">
        <f>IF(P128="", "", P128/'02_NUTRITION_SETUP'!$C$20)</f>
        <v/>
      </c>
      <c r="X128" s="114">
        <f>IF(Q128="", "", Q128/'02_NUTRITION_SETUP'!$C$21)</f>
        <v/>
      </c>
    </row>
    <row r="129" ht="22" customHeight="1">
      <c r="A129" s="57" t="n"/>
      <c r="B129" s="7" t="n"/>
      <c r="C129" s="58" t="n"/>
      <c r="D129" s="58" t="n"/>
      <c r="E129" s="7" t="n"/>
      <c r="F129" s="106">
        <f>IF(OR(C129="", D129=""), "", IFERROR(VLOOKUP(C129, '03_FOOD_DATABASE'!$B$5:$L$60, 6, FALSE)*D129/100, IFERROR(VLOOKUP(C129, '04_RECIPE_DATABASE'!$B$5:$M$20, 8, FALSE)*D129, 0)))</f>
        <v/>
      </c>
      <c r="G129" s="107">
        <f>IF(OR(C129="", D129=""), "", IFERROR(VLOOKUP(C129, '03_FOOD_DATABASE'!$B$5:$L$60, 7, FALSE)*D129/100, IFERROR(VLOOKUP(C129, '04_RECIPE_DATABASE'!$B$5:$M$20, 9, FALSE)*D129, 0)))</f>
        <v/>
      </c>
      <c r="H129" s="107">
        <f>IF(OR(C129="", D129=""), "", IFERROR(VLOOKUP(C129, '03_FOOD_DATABASE'!$B$5:$L$60, 8, FALSE)*D129/100, IFERROR(VLOOKUP(C129, '04_RECIPE_DATABASE'!$B$5:$M$20, 10, FALSE)*D129, 0)))</f>
        <v/>
      </c>
      <c r="I129" s="107">
        <f>IF(OR(C129="", D129=""), "", IFERROR(VLOOKUP(C129, '03_FOOD_DATABASE'!$B$5:$L$60, 9, FALSE)*D129/100, IFERROR(VLOOKUP(C129, '04_RECIPE_DATABASE'!$B$5:$M$20, 11, FALSE)*D129, 0)))</f>
        <v/>
      </c>
      <c r="J129" s="106">
        <f>IF(OR(C129="", D129=""), "", IFERROR(VLOOKUP(C129, '03_FOOD_DATABASE'!$B$5:$L$60, 11, FALSE)*D129/100, IFERROR(VLOOKUP(C129, '04_RECIPE_DATABASE'!$B$5:$M$20, 12, FALSE)*D129, 0)))</f>
        <v/>
      </c>
      <c r="K129" s="7" t="n"/>
      <c r="L129" s="58" t="n"/>
      <c r="N129" s="108" t="n">
        <v>46438</v>
      </c>
      <c r="O129" s="109">
        <f>TEXT(N129, "dddd")</f>
        <v/>
      </c>
      <c r="P129" s="110">
        <f>IF(U129=0, "", SUMIFS($F$5:$F$1500, $A$5:$A$1500, N129))</f>
        <v/>
      </c>
      <c r="Q129" s="111">
        <f>IF(U129=0, "", SUMIFS($G$5:$G$1500, $A$5:$A$1500, N129))</f>
        <v/>
      </c>
      <c r="R129" s="111">
        <f>IF(U129=0, "", SUMIFS($H$5:$H$1500, $A$5:$A$1500, N129))</f>
        <v/>
      </c>
      <c r="S129" s="111">
        <f>IF(U129=0, "", SUMIFS($I$5:$I$1500, $A$5:$A$1500, N129))</f>
        <v/>
      </c>
      <c r="T129" s="110">
        <f>IF(U129=0, "", SUMIFS($J$5:$J$1500, $A$5:$A$1500, N129))</f>
        <v/>
      </c>
      <c r="U129" s="112">
        <f>COUNTIFS($A$5:$A$1500, N129)</f>
        <v/>
      </c>
      <c r="V129" s="113">
        <f>IF(U129=0, "CHƯA NHẬP", IF(U129&lt;3, "INCOMPLETE (Chưa đủ bữa)", "COMPLETE (Đầy đủ)"))</f>
        <v/>
      </c>
      <c r="W129" s="114">
        <f>IF(P129="", "", P129/'02_NUTRITION_SETUP'!$C$20)</f>
        <v/>
      </c>
      <c r="X129" s="114">
        <f>IF(Q129="", "", Q129/'02_NUTRITION_SETUP'!$C$21)</f>
        <v/>
      </c>
    </row>
    <row r="130" ht="22" customHeight="1">
      <c r="A130" s="57" t="n"/>
      <c r="B130" s="7" t="n"/>
      <c r="C130" s="58" t="n"/>
      <c r="D130" s="58" t="n"/>
      <c r="E130" s="7" t="n"/>
      <c r="F130" s="106">
        <f>IF(OR(C130="", D130=""), "", IFERROR(VLOOKUP(C130, '03_FOOD_DATABASE'!$B$5:$L$60, 6, FALSE)*D130/100, IFERROR(VLOOKUP(C130, '04_RECIPE_DATABASE'!$B$5:$M$20, 8, FALSE)*D130, 0)))</f>
        <v/>
      </c>
      <c r="G130" s="107">
        <f>IF(OR(C130="", D130=""), "", IFERROR(VLOOKUP(C130, '03_FOOD_DATABASE'!$B$5:$L$60, 7, FALSE)*D130/100, IFERROR(VLOOKUP(C130, '04_RECIPE_DATABASE'!$B$5:$M$20, 9, FALSE)*D130, 0)))</f>
        <v/>
      </c>
      <c r="H130" s="107">
        <f>IF(OR(C130="", D130=""), "", IFERROR(VLOOKUP(C130, '03_FOOD_DATABASE'!$B$5:$L$60, 8, FALSE)*D130/100, IFERROR(VLOOKUP(C130, '04_RECIPE_DATABASE'!$B$5:$M$20, 10, FALSE)*D130, 0)))</f>
        <v/>
      </c>
      <c r="I130" s="107">
        <f>IF(OR(C130="", D130=""), "", IFERROR(VLOOKUP(C130, '03_FOOD_DATABASE'!$B$5:$L$60, 9, FALSE)*D130/100, IFERROR(VLOOKUP(C130, '04_RECIPE_DATABASE'!$B$5:$M$20, 11, FALSE)*D130, 0)))</f>
        <v/>
      </c>
      <c r="J130" s="106">
        <f>IF(OR(C130="", D130=""), "", IFERROR(VLOOKUP(C130, '03_FOOD_DATABASE'!$B$5:$L$60, 11, FALSE)*D130/100, IFERROR(VLOOKUP(C130, '04_RECIPE_DATABASE'!$B$5:$M$20, 12, FALSE)*D130, 0)))</f>
        <v/>
      </c>
      <c r="K130" s="7" t="n"/>
      <c r="L130" s="58" t="n"/>
      <c r="N130" s="108" t="n">
        <v>46439</v>
      </c>
      <c r="O130" s="109">
        <f>TEXT(N130, "dddd")</f>
        <v/>
      </c>
      <c r="P130" s="110">
        <f>IF(U130=0, "", SUMIFS($F$5:$F$1500, $A$5:$A$1500, N130))</f>
        <v/>
      </c>
      <c r="Q130" s="111">
        <f>IF(U130=0, "", SUMIFS($G$5:$G$1500, $A$5:$A$1500, N130))</f>
        <v/>
      </c>
      <c r="R130" s="111">
        <f>IF(U130=0, "", SUMIFS($H$5:$H$1500, $A$5:$A$1500, N130))</f>
        <v/>
      </c>
      <c r="S130" s="111">
        <f>IF(U130=0, "", SUMIFS($I$5:$I$1500, $A$5:$A$1500, N130))</f>
        <v/>
      </c>
      <c r="T130" s="110">
        <f>IF(U130=0, "", SUMIFS($J$5:$J$1500, $A$5:$A$1500, N130))</f>
        <v/>
      </c>
      <c r="U130" s="112">
        <f>COUNTIFS($A$5:$A$1500, N130)</f>
        <v/>
      </c>
      <c r="V130" s="113">
        <f>IF(U130=0, "CHƯA NHẬP", IF(U130&lt;3, "INCOMPLETE (Chưa đủ bữa)", "COMPLETE (Đầy đủ)"))</f>
        <v/>
      </c>
      <c r="W130" s="114">
        <f>IF(P130="", "", P130/'02_NUTRITION_SETUP'!$C$20)</f>
        <v/>
      </c>
      <c r="X130" s="114">
        <f>IF(Q130="", "", Q130/'02_NUTRITION_SETUP'!$C$21)</f>
        <v/>
      </c>
    </row>
    <row r="131" ht="22" customHeight="1">
      <c r="A131" s="57" t="n"/>
      <c r="B131" s="7" t="n"/>
      <c r="C131" s="58" t="n"/>
      <c r="D131" s="58" t="n"/>
      <c r="E131" s="7" t="n"/>
      <c r="F131" s="106">
        <f>IF(OR(C131="", D131=""), "", IFERROR(VLOOKUP(C131, '03_FOOD_DATABASE'!$B$5:$L$60, 6, FALSE)*D131/100, IFERROR(VLOOKUP(C131, '04_RECIPE_DATABASE'!$B$5:$M$20, 8, FALSE)*D131, 0)))</f>
        <v/>
      </c>
      <c r="G131" s="107">
        <f>IF(OR(C131="", D131=""), "", IFERROR(VLOOKUP(C131, '03_FOOD_DATABASE'!$B$5:$L$60, 7, FALSE)*D131/100, IFERROR(VLOOKUP(C131, '04_RECIPE_DATABASE'!$B$5:$M$20, 9, FALSE)*D131, 0)))</f>
        <v/>
      </c>
      <c r="H131" s="107">
        <f>IF(OR(C131="", D131=""), "", IFERROR(VLOOKUP(C131, '03_FOOD_DATABASE'!$B$5:$L$60, 8, FALSE)*D131/100, IFERROR(VLOOKUP(C131, '04_RECIPE_DATABASE'!$B$5:$M$20, 10, FALSE)*D131, 0)))</f>
        <v/>
      </c>
      <c r="I131" s="107">
        <f>IF(OR(C131="", D131=""), "", IFERROR(VLOOKUP(C131, '03_FOOD_DATABASE'!$B$5:$L$60, 9, FALSE)*D131/100, IFERROR(VLOOKUP(C131, '04_RECIPE_DATABASE'!$B$5:$M$20, 11, FALSE)*D131, 0)))</f>
        <v/>
      </c>
      <c r="J131" s="106">
        <f>IF(OR(C131="", D131=""), "", IFERROR(VLOOKUP(C131, '03_FOOD_DATABASE'!$B$5:$L$60, 11, FALSE)*D131/100, IFERROR(VLOOKUP(C131, '04_RECIPE_DATABASE'!$B$5:$M$20, 12, FALSE)*D131, 0)))</f>
        <v/>
      </c>
      <c r="K131" s="7" t="n"/>
      <c r="L131" s="58" t="n"/>
      <c r="N131" s="108" t="n">
        <v>46440</v>
      </c>
      <c r="O131" s="109">
        <f>TEXT(N131, "dddd")</f>
        <v/>
      </c>
      <c r="P131" s="110">
        <f>IF(U131=0, "", SUMIFS($F$5:$F$1500, $A$5:$A$1500, N131))</f>
        <v/>
      </c>
      <c r="Q131" s="111">
        <f>IF(U131=0, "", SUMIFS($G$5:$G$1500, $A$5:$A$1500, N131))</f>
        <v/>
      </c>
      <c r="R131" s="111">
        <f>IF(U131=0, "", SUMIFS($H$5:$H$1500, $A$5:$A$1500, N131))</f>
        <v/>
      </c>
      <c r="S131" s="111">
        <f>IF(U131=0, "", SUMIFS($I$5:$I$1500, $A$5:$A$1500, N131))</f>
        <v/>
      </c>
      <c r="T131" s="110">
        <f>IF(U131=0, "", SUMIFS($J$5:$J$1500, $A$5:$A$1500, N131))</f>
        <v/>
      </c>
      <c r="U131" s="112">
        <f>COUNTIFS($A$5:$A$1500, N131)</f>
        <v/>
      </c>
      <c r="V131" s="113">
        <f>IF(U131=0, "CHƯA NHẬP", IF(U131&lt;3, "INCOMPLETE (Chưa đủ bữa)", "COMPLETE (Đầy đủ)"))</f>
        <v/>
      </c>
      <c r="W131" s="114">
        <f>IF(P131="", "", P131/'02_NUTRITION_SETUP'!$C$20)</f>
        <v/>
      </c>
      <c r="X131" s="114">
        <f>IF(Q131="", "", Q131/'02_NUTRITION_SETUP'!$C$21)</f>
        <v/>
      </c>
    </row>
    <row r="132" ht="22" customHeight="1">
      <c r="A132" s="57" t="n"/>
      <c r="B132" s="7" t="n"/>
      <c r="C132" s="58" t="n"/>
      <c r="D132" s="58" t="n"/>
      <c r="E132" s="7" t="n"/>
      <c r="F132" s="106">
        <f>IF(OR(C132="", D132=""), "", IFERROR(VLOOKUP(C132, '03_FOOD_DATABASE'!$B$5:$L$60, 6, FALSE)*D132/100, IFERROR(VLOOKUP(C132, '04_RECIPE_DATABASE'!$B$5:$M$20, 8, FALSE)*D132, 0)))</f>
        <v/>
      </c>
      <c r="G132" s="107">
        <f>IF(OR(C132="", D132=""), "", IFERROR(VLOOKUP(C132, '03_FOOD_DATABASE'!$B$5:$L$60, 7, FALSE)*D132/100, IFERROR(VLOOKUP(C132, '04_RECIPE_DATABASE'!$B$5:$M$20, 9, FALSE)*D132, 0)))</f>
        <v/>
      </c>
      <c r="H132" s="107">
        <f>IF(OR(C132="", D132=""), "", IFERROR(VLOOKUP(C132, '03_FOOD_DATABASE'!$B$5:$L$60, 8, FALSE)*D132/100, IFERROR(VLOOKUP(C132, '04_RECIPE_DATABASE'!$B$5:$M$20, 10, FALSE)*D132, 0)))</f>
        <v/>
      </c>
      <c r="I132" s="107">
        <f>IF(OR(C132="", D132=""), "", IFERROR(VLOOKUP(C132, '03_FOOD_DATABASE'!$B$5:$L$60, 9, FALSE)*D132/100, IFERROR(VLOOKUP(C132, '04_RECIPE_DATABASE'!$B$5:$M$20, 11, FALSE)*D132, 0)))</f>
        <v/>
      </c>
      <c r="J132" s="106">
        <f>IF(OR(C132="", D132=""), "", IFERROR(VLOOKUP(C132, '03_FOOD_DATABASE'!$B$5:$L$60, 11, FALSE)*D132/100, IFERROR(VLOOKUP(C132, '04_RECIPE_DATABASE'!$B$5:$M$20, 12, FALSE)*D132, 0)))</f>
        <v/>
      </c>
      <c r="K132" s="7" t="n"/>
      <c r="L132" s="58" t="n"/>
      <c r="N132" s="108" t="n">
        <v>46441</v>
      </c>
      <c r="O132" s="109">
        <f>TEXT(N132, "dddd")</f>
        <v/>
      </c>
      <c r="P132" s="110">
        <f>IF(U132=0, "", SUMIFS($F$5:$F$1500, $A$5:$A$1500, N132))</f>
        <v/>
      </c>
      <c r="Q132" s="111">
        <f>IF(U132=0, "", SUMIFS($G$5:$G$1500, $A$5:$A$1500, N132))</f>
        <v/>
      </c>
      <c r="R132" s="111">
        <f>IF(U132=0, "", SUMIFS($H$5:$H$1500, $A$5:$A$1500, N132))</f>
        <v/>
      </c>
      <c r="S132" s="111">
        <f>IF(U132=0, "", SUMIFS($I$5:$I$1500, $A$5:$A$1500, N132))</f>
        <v/>
      </c>
      <c r="T132" s="110">
        <f>IF(U132=0, "", SUMIFS($J$5:$J$1500, $A$5:$A$1500, N132))</f>
        <v/>
      </c>
      <c r="U132" s="112">
        <f>COUNTIFS($A$5:$A$1500, N132)</f>
        <v/>
      </c>
      <c r="V132" s="113">
        <f>IF(U132=0, "CHƯA NHẬP", IF(U132&lt;3, "INCOMPLETE (Chưa đủ bữa)", "COMPLETE (Đầy đủ)"))</f>
        <v/>
      </c>
      <c r="W132" s="114">
        <f>IF(P132="", "", P132/'02_NUTRITION_SETUP'!$C$20)</f>
        <v/>
      </c>
      <c r="X132" s="114">
        <f>IF(Q132="", "", Q132/'02_NUTRITION_SETUP'!$C$21)</f>
        <v/>
      </c>
    </row>
    <row r="133" ht="22" customHeight="1">
      <c r="A133" s="57" t="n"/>
      <c r="B133" s="7" t="n"/>
      <c r="C133" s="58" t="n"/>
      <c r="D133" s="58" t="n"/>
      <c r="E133" s="7" t="n"/>
      <c r="F133" s="106">
        <f>IF(OR(C133="", D133=""), "", IFERROR(VLOOKUP(C133, '03_FOOD_DATABASE'!$B$5:$L$60, 6, FALSE)*D133/100, IFERROR(VLOOKUP(C133, '04_RECIPE_DATABASE'!$B$5:$M$20, 8, FALSE)*D133, 0)))</f>
        <v/>
      </c>
      <c r="G133" s="107">
        <f>IF(OR(C133="", D133=""), "", IFERROR(VLOOKUP(C133, '03_FOOD_DATABASE'!$B$5:$L$60, 7, FALSE)*D133/100, IFERROR(VLOOKUP(C133, '04_RECIPE_DATABASE'!$B$5:$M$20, 9, FALSE)*D133, 0)))</f>
        <v/>
      </c>
      <c r="H133" s="107">
        <f>IF(OR(C133="", D133=""), "", IFERROR(VLOOKUP(C133, '03_FOOD_DATABASE'!$B$5:$L$60, 8, FALSE)*D133/100, IFERROR(VLOOKUP(C133, '04_RECIPE_DATABASE'!$B$5:$M$20, 10, FALSE)*D133, 0)))</f>
        <v/>
      </c>
      <c r="I133" s="107">
        <f>IF(OR(C133="", D133=""), "", IFERROR(VLOOKUP(C133, '03_FOOD_DATABASE'!$B$5:$L$60, 9, FALSE)*D133/100, IFERROR(VLOOKUP(C133, '04_RECIPE_DATABASE'!$B$5:$M$20, 11, FALSE)*D133, 0)))</f>
        <v/>
      </c>
      <c r="J133" s="106">
        <f>IF(OR(C133="", D133=""), "", IFERROR(VLOOKUP(C133, '03_FOOD_DATABASE'!$B$5:$L$60, 11, FALSE)*D133/100, IFERROR(VLOOKUP(C133, '04_RECIPE_DATABASE'!$B$5:$M$20, 12, FALSE)*D133, 0)))</f>
        <v/>
      </c>
      <c r="K133" s="7" t="n"/>
      <c r="L133" s="58" t="n"/>
      <c r="N133" s="108" t="n">
        <v>46442</v>
      </c>
      <c r="O133" s="109">
        <f>TEXT(N133, "dddd")</f>
        <v/>
      </c>
      <c r="P133" s="110">
        <f>IF(U133=0, "", SUMIFS($F$5:$F$1500, $A$5:$A$1500, N133))</f>
        <v/>
      </c>
      <c r="Q133" s="111">
        <f>IF(U133=0, "", SUMIFS($G$5:$G$1500, $A$5:$A$1500, N133))</f>
        <v/>
      </c>
      <c r="R133" s="111">
        <f>IF(U133=0, "", SUMIFS($H$5:$H$1500, $A$5:$A$1500, N133))</f>
        <v/>
      </c>
      <c r="S133" s="111">
        <f>IF(U133=0, "", SUMIFS($I$5:$I$1500, $A$5:$A$1500, N133))</f>
        <v/>
      </c>
      <c r="T133" s="110">
        <f>IF(U133=0, "", SUMIFS($J$5:$J$1500, $A$5:$A$1500, N133))</f>
        <v/>
      </c>
      <c r="U133" s="112">
        <f>COUNTIFS($A$5:$A$1500, N133)</f>
        <v/>
      </c>
      <c r="V133" s="113">
        <f>IF(U133=0, "CHƯA NHẬP", IF(U133&lt;3, "INCOMPLETE (Chưa đủ bữa)", "COMPLETE (Đầy đủ)"))</f>
        <v/>
      </c>
      <c r="W133" s="114">
        <f>IF(P133="", "", P133/'02_NUTRITION_SETUP'!$C$20)</f>
        <v/>
      </c>
      <c r="X133" s="114">
        <f>IF(Q133="", "", Q133/'02_NUTRITION_SETUP'!$C$21)</f>
        <v/>
      </c>
    </row>
    <row r="134" ht="22" customHeight="1">
      <c r="A134" s="57" t="n"/>
      <c r="B134" s="7" t="n"/>
      <c r="C134" s="58" t="n"/>
      <c r="D134" s="58" t="n"/>
      <c r="E134" s="7" t="n"/>
      <c r="F134" s="106">
        <f>IF(OR(C134="", D134=""), "", IFERROR(VLOOKUP(C134, '03_FOOD_DATABASE'!$B$5:$L$60, 6, FALSE)*D134/100, IFERROR(VLOOKUP(C134, '04_RECIPE_DATABASE'!$B$5:$M$20, 8, FALSE)*D134, 0)))</f>
        <v/>
      </c>
      <c r="G134" s="107">
        <f>IF(OR(C134="", D134=""), "", IFERROR(VLOOKUP(C134, '03_FOOD_DATABASE'!$B$5:$L$60, 7, FALSE)*D134/100, IFERROR(VLOOKUP(C134, '04_RECIPE_DATABASE'!$B$5:$M$20, 9, FALSE)*D134, 0)))</f>
        <v/>
      </c>
      <c r="H134" s="107">
        <f>IF(OR(C134="", D134=""), "", IFERROR(VLOOKUP(C134, '03_FOOD_DATABASE'!$B$5:$L$60, 8, FALSE)*D134/100, IFERROR(VLOOKUP(C134, '04_RECIPE_DATABASE'!$B$5:$M$20, 10, FALSE)*D134, 0)))</f>
        <v/>
      </c>
      <c r="I134" s="107">
        <f>IF(OR(C134="", D134=""), "", IFERROR(VLOOKUP(C134, '03_FOOD_DATABASE'!$B$5:$L$60, 9, FALSE)*D134/100, IFERROR(VLOOKUP(C134, '04_RECIPE_DATABASE'!$B$5:$M$20, 11, FALSE)*D134, 0)))</f>
        <v/>
      </c>
      <c r="J134" s="106">
        <f>IF(OR(C134="", D134=""), "", IFERROR(VLOOKUP(C134, '03_FOOD_DATABASE'!$B$5:$L$60, 11, FALSE)*D134/100, IFERROR(VLOOKUP(C134, '04_RECIPE_DATABASE'!$B$5:$M$20, 12, FALSE)*D134, 0)))</f>
        <v/>
      </c>
      <c r="K134" s="7" t="n"/>
      <c r="L134" s="58" t="n"/>
      <c r="N134" s="108" t="n">
        <v>46443</v>
      </c>
      <c r="O134" s="109">
        <f>TEXT(N134, "dddd")</f>
        <v/>
      </c>
      <c r="P134" s="110">
        <f>IF(U134=0, "", SUMIFS($F$5:$F$1500, $A$5:$A$1500, N134))</f>
        <v/>
      </c>
      <c r="Q134" s="111">
        <f>IF(U134=0, "", SUMIFS($G$5:$G$1500, $A$5:$A$1500, N134))</f>
        <v/>
      </c>
      <c r="R134" s="111">
        <f>IF(U134=0, "", SUMIFS($H$5:$H$1500, $A$5:$A$1500, N134))</f>
        <v/>
      </c>
      <c r="S134" s="111">
        <f>IF(U134=0, "", SUMIFS($I$5:$I$1500, $A$5:$A$1500, N134))</f>
        <v/>
      </c>
      <c r="T134" s="110">
        <f>IF(U134=0, "", SUMIFS($J$5:$J$1500, $A$5:$A$1500, N134))</f>
        <v/>
      </c>
      <c r="U134" s="112">
        <f>COUNTIFS($A$5:$A$1500, N134)</f>
        <v/>
      </c>
      <c r="V134" s="113">
        <f>IF(U134=0, "CHƯA NHẬP", IF(U134&lt;3, "INCOMPLETE (Chưa đủ bữa)", "COMPLETE (Đầy đủ)"))</f>
        <v/>
      </c>
      <c r="W134" s="114">
        <f>IF(P134="", "", P134/'02_NUTRITION_SETUP'!$C$20)</f>
        <v/>
      </c>
      <c r="X134" s="114">
        <f>IF(Q134="", "", Q134/'02_NUTRITION_SETUP'!$C$21)</f>
        <v/>
      </c>
    </row>
    <row r="135" ht="22" customHeight="1">
      <c r="A135" s="57" t="n"/>
      <c r="B135" s="7" t="n"/>
      <c r="C135" s="58" t="n"/>
      <c r="D135" s="58" t="n"/>
      <c r="E135" s="7" t="n"/>
      <c r="F135" s="106">
        <f>IF(OR(C135="", D135=""), "", IFERROR(VLOOKUP(C135, '03_FOOD_DATABASE'!$B$5:$L$60, 6, FALSE)*D135/100, IFERROR(VLOOKUP(C135, '04_RECIPE_DATABASE'!$B$5:$M$20, 8, FALSE)*D135, 0)))</f>
        <v/>
      </c>
      <c r="G135" s="107">
        <f>IF(OR(C135="", D135=""), "", IFERROR(VLOOKUP(C135, '03_FOOD_DATABASE'!$B$5:$L$60, 7, FALSE)*D135/100, IFERROR(VLOOKUP(C135, '04_RECIPE_DATABASE'!$B$5:$M$20, 9, FALSE)*D135, 0)))</f>
        <v/>
      </c>
      <c r="H135" s="107">
        <f>IF(OR(C135="", D135=""), "", IFERROR(VLOOKUP(C135, '03_FOOD_DATABASE'!$B$5:$L$60, 8, FALSE)*D135/100, IFERROR(VLOOKUP(C135, '04_RECIPE_DATABASE'!$B$5:$M$20, 10, FALSE)*D135, 0)))</f>
        <v/>
      </c>
      <c r="I135" s="107">
        <f>IF(OR(C135="", D135=""), "", IFERROR(VLOOKUP(C135, '03_FOOD_DATABASE'!$B$5:$L$60, 9, FALSE)*D135/100, IFERROR(VLOOKUP(C135, '04_RECIPE_DATABASE'!$B$5:$M$20, 11, FALSE)*D135, 0)))</f>
        <v/>
      </c>
      <c r="J135" s="106">
        <f>IF(OR(C135="", D135=""), "", IFERROR(VLOOKUP(C135, '03_FOOD_DATABASE'!$B$5:$L$60, 11, FALSE)*D135/100, IFERROR(VLOOKUP(C135, '04_RECIPE_DATABASE'!$B$5:$M$20, 12, FALSE)*D135, 0)))</f>
        <v/>
      </c>
      <c r="K135" s="7" t="n"/>
      <c r="L135" s="58" t="n"/>
      <c r="N135" s="108" t="n">
        <v>46444</v>
      </c>
      <c r="O135" s="109">
        <f>TEXT(N135, "dddd")</f>
        <v/>
      </c>
      <c r="P135" s="110">
        <f>IF(U135=0, "", SUMIFS($F$5:$F$1500, $A$5:$A$1500, N135))</f>
        <v/>
      </c>
      <c r="Q135" s="111">
        <f>IF(U135=0, "", SUMIFS($G$5:$G$1500, $A$5:$A$1500, N135))</f>
        <v/>
      </c>
      <c r="R135" s="111">
        <f>IF(U135=0, "", SUMIFS($H$5:$H$1500, $A$5:$A$1500, N135))</f>
        <v/>
      </c>
      <c r="S135" s="111">
        <f>IF(U135=0, "", SUMIFS($I$5:$I$1500, $A$5:$A$1500, N135))</f>
        <v/>
      </c>
      <c r="T135" s="110">
        <f>IF(U135=0, "", SUMIFS($J$5:$J$1500, $A$5:$A$1500, N135))</f>
        <v/>
      </c>
      <c r="U135" s="112">
        <f>COUNTIFS($A$5:$A$1500, N135)</f>
        <v/>
      </c>
      <c r="V135" s="113">
        <f>IF(U135=0, "CHƯA NHẬP", IF(U135&lt;3, "INCOMPLETE (Chưa đủ bữa)", "COMPLETE (Đầy đủ)"))</f>
        <v/>
      </c>
      <c r="W135" s="114">
        <f>IF(P135="", "", P135/'02_NUTRITION_SETUP'!$C$20)</f>
        <v/>
      </c>
      <c r="X135" s="114">
        <f>IF(Q135="", "", Q135/'02_NUTRITION_SETUP'!$C$21)</f>
        <v/>
      </c>
    </row>
    <row r="136" ht="22" customHeight="1">
      <c r="A136" s="57" t="n"/>
      <c r="B136" s="7" t="n"/>
      <c r="C136" s="58" t="n"/>
      <c r="D136" s="58" t="n"/>
      <c r="E136" s="7" t="n"/>
      <c r="F136" s="106">
        <f>IF(OR(C136="", D136=""), "", IFERROR(VLOOKUP(C136, '03_FOOD_DATABASE'!$B$5:$L$60, 6, FALSE)*D136/100, IFERROR(VLOOKUP(C136, '04_RECIPE_DATABASE'!$B$5:$M$20, 8, FALSE)*D136, 0)))</f>
        <v/>
      </c>
      <c r="G136" s="107">
        <f>IF(OR(C136="", D136=""), "", IFERROR(VLOOKUP(C136, '03_FOOD_DATABASE'!$B$5:$L$60, 7, FALSE)*D136/100, IFERROR(VLOOKUP(C136, '04_RECIPE_DATABASE'!$B$5:$M$20, 9, FALSE)*D136, 0)))</f>
        <v/>
      </c>
      <c r="H136" s="107">
        <f>IF(OR(C136="", D136=""), "", IFERROR(VLOOKUP(C136, '03_FOOD_DATABASE'!$B$5:$L$60, 8, FALSE)*D136/100, IFERROR(VLOOKUP(C136, '04_RECIPE_DATABASE'!$B$5:$M$20, 10, FALSE)*D136, 0)))</f>
        <v/>
      </c>
      <c r="I136" s="107">
        <f>IF(OR(C136="", D136=""), "", IFERROR(VLOOKUP(C136, '03_FOOD_DATABASE'!$B$5:$L$60, 9, FALSE)*D136/100, IFERROR(VLOOKUP(C136, '04_RECIPE_DATABASE'!$B$5:$M$20, 11, FALSE)*D136, 0)))</f>
        <v/>
      </c>
      <c r="J136" s="106">
        <f>IF(OR(C136="", D136=""), "", IFERROR(VLOOKUP(C136, '03_FOOD_DATABASE'!$B$5:$L$60, 11, FALSE)*D136/100, IFERROR(VLOOKUP(C136, '04_RECIPE_DATABASE'!$B$5:$M$20, 12, FALSE)*D136, 0)))</f>
        <v/>
      </c>
      <c r="K136" s="7" t="n"/>
      <c r="L136" s="58" t="n"/>
      <c r="N136" s="108" t="n">
        <v>46445</v>
      </c>
      <c r="O136" s="109">
        <f>TEXT(N136, "dddd")</f>
        <v/>
      </c>
      <c r="P136" s="110">
        <f>IF(U136=0, "", SUMIFS($F$5:$F$1500, $A$5:$A$1500, N136))</f>
        <v/>
      </c>
      <c r="Q136" s="111">
        <f>IF(U136=0, "", SUMIFS($G$5:$G$1500, $A$5:$A$1500, N136))</f>
        <v/>
      </c>
      <c r="R136" s="111">
        <f>IF(U136=0, "", SUMIFS($H$5:$H$1500, $A$5:$A$1500, N136))</f>
        <v/>
      </c>
      <c r="S136" s="111">
        <f>IF(U136=0, "", SUMIFS($I$5:$I$1500, $A$5:$A$1500, N136))</f>
        <v/>
      </c>
      <c r="T136" s="110">
        <f>IF(U136=0, "", SUMIFS($J$5:$J$1500, $A$5:$A$1500, N136))</f>
        <v/>
      </c>
      <c r="U136" s="112">
        <f>COUNTIFS($A$5:$A$1500, N136)</f>
        <v/>
      </c>
      <c r="V136" s="113">
        <f>IF(U136=0, "CHƯA NHẬP", IF(U136&lt;3, "INCOMPLETE (Chưa đủ bữa)", "COMPLETE (Đầy đủ)"))</f>
        <v/>
      </c>
      <c r="W136" s="114">
        <f>IF(P136="", "", P136/'02_NUTRITION_SETUP'!$C$20)</f>
        <v/>
      </c>
      <c r="X136" s="114">
        <f>IF(Q136="", "", Q136/'02_NUTRITION_SETUP'!$C$21)</f>
        <v/>
      </c>
    </row>
    <row r="137" ht="22" customHeight="1">
      <c r="A137" s="57" t="n"/>
      <c r="B137" s="7" t="n"/>
      <c r="C137" s="58" t="n"/>
      <c r="D137" s="58" t="n"/>
      <c r="E137" s="7" t="n"/>
      <c r="F137" s="106">
        <f>IF(OR(C137="", D137=""), "", IFERROR(VLOOKUP(C137, '03_FOOD_DATABASE'!$B$5:$L$60, 6, FALSE)*D137/100, IFERROR(VLOOKUP(C137, '04_RECIPE_DATABASE'!$B$5:$M$20, 8, FALSE)*D137, 0)))</f>
        <v/>
      </c>
      <c r="G137" s="107">
        <f>IF(OR(C137="", D137=""), "", IFERROR(VLOOKUP(C137, '03_FOOD_DATABASE'!$B$5:$L$60, 7, FALSE)*D137/100, IFERROR(VLOOKUP(C137, '04_RECIPE_DATABASE'!$B$5:$M$20, 9, FALSE)*D137, 0)))</f>
        <v/>
      </c>
      <c r="H137" s="107">
        <f>IF(OR(C137="", D137=""), "", IFERROR(VLOOKUP(C137, '03_FOOD_DATABASE'!$B$5:$L$60, 8, FALSE)*D137/100, IFERROR(VLOOKUP(C137, '04_RECIPE_DATABASE'!$B$5:$M$20, 10, FALSE)*D137, 0)))</f>
        <v/>
      </c>
      <c r="I137" s="107">
        <f>IF(OR(C137="", D137=""), "", IFERROR(VLOOKUP(C137, '03_FOOD_DATABASE'!$B$5:$L$60, 9, FALSE)*D137/100, IFERROR(VLOOKUP(C137, '04_RECIPE_DATABASE'!$B$5:$M$20, 11, FALSE)*D137, 0)))</f>
        <v/>
      </c>
      <c r="J137" s="106">
        <f>IF(OR(C137="", D137=""), "", IFERROR(VLOOKUP(C137, '03_FOOD_DATABASE'!$B$5:$L$60, 11, FALSE)*D137/100, IFERROR(VLOOKUP(C137, '04_RECIPE_DATABASE'!$B$5:$M$20, 12, FALSE)*D137, 0)))</f>
        <v/>
      </c>
      <c r="K137" s="7" t="n"/>
      <c r="L137" s="58" t="n"/>
      <c r="N137" s="108" t="n">
        <v>46446</v>
      </c>
      <c r="O137" s="109">
        <f>TEXT(N137, "dddd")</f>
        <v/>
      </c>
      <c r="P137" s="110">
        <f>IF(U137=0, "", SUMIFS($F$5:$F$1500, $A$5:$A$1500, N137))</f>
        <v/>
      </c>
      <c r="Q137" s="111">
        <f>IF(U137=0, "", SUMIFS($G$5:$G$1500, $A$5:$A$1500, N137))</f>
        <v/>
      </c>
      <c r="R137" s="111">
        <f>IF(U137=0, "", SUMIFS($H$5:$H$1500, $A$5:$A$1500, N137))</f>
        <v/>
      </c>
      <c r="S137" s="111">
        <f>IF(U137=0, "", SUMIFS($I$5:$I$1500, $A$5:$A$1500, N137))</f>
        <v/>
      </c>
      <c r="T137" s="110">
        <f>IF(U137=0, "", SUMIFS($J$5:$J$1500, $A$5:$A$1500, N137))</f>
        <v/>
      </c>
      <c r="U137" s="112">
        <f>COUNTIFS($A$5:$A$1500, N137)</f>
        <v/>
      </c>
      <c r="V137" s="113">
        <f>IF(U137=0, "CHƯA NHẬP", IF(U137&lt;3, "INCOMPLETE (Chưa đủ bữa)", "COMPLETE (Đầy đủ)"))</f>
        <v/>
      </c>
      <c r="W137" s="114">
        <f>IF(P137="", "", P137/'02_NUTRITION_SETUP'!$C$20)</f>
        <v/>
      </c>
      <c r="X137" s="114">
        <f>IF(Q137="", "", Q137/'02_NUTRITION_SETUP'!$C$21)</f>
        <v/>
      </c>
    </row>
    <row r="138" ht="22" customHeight="1">
      <c r="A138" s="57" t="n"/>
      <c r="B138" s="7" t="n"/>
      <c r="C138" s="58" t="n"/>
      <c r="D138" s="58" t="n"/>
      <c r="E138" s="7" t="n"/>
      <c r="F138" s="106">
        <f>IF(OR(C138="", D138=""), "", IFERROR(VLOOKUP(C138, '03_FOOD_DATABASE'!$B$5:$L$60, 6, FALSE)*D138/100, IFERROR(VLOOKUP(C138, '04_RECIPE_DATABASE'!$B$5:$M$20, 8, FALSE)*D138, 0)))</f>
        <v/>
      </c>
      <c r="G138" s="107">
        <f>IF(OR(C138="", D138=""), "", IFERROR(VLOOKUP(C138, '03_FOOD_DATABASE'!$B$5:$L$60, 7, FALSE)*D138/100, IFERROR(VLOOKUP(C138, '04_RECIPE_DATABASE'!$B$5:$M$20, 9, FALSE)*D138, 0)))</f>
        <v/>
      </c>
      <c r="H138" s="107">
        <f>IF(OR(C138="", D138=""), "", IFERROR(VLOOKUP(C138, '03_FOOD_DATABASE'!$B$5:$L$60, 8, FALSE)*D138/100, IFERROR(VLOOKUP(C138, '04_RECIPE_DATABASE'!$B$5:$M$20, 10, FALSE)*D138, 0)))</f>
        <v/>
      </c>
      <c r="I138" s="107">
        <f>IF(OR(C138="", D138=""), "", IFERROR(VLOOKUP(C138, '03_FOOD_DATABASE'!$B$5:$L$60, 9, FALSE)*D138/100, IFERROR(VLOOKUP(C138, '04_RECIPE_DATABASE'!$B$5:$M$20, 11, FALSE)*D138, 0)))</f>
        <v/>
      </c>
      <c r="J138" s="106">
        <f>IF(OR(C138="", D138=""), "", IFERROR(VLOOKUP(C138, '03_FOOD_DATABASE'!$B$5:$L$60, 11, FALSE)*D138/100, IFERROR(VLOOKUP(C138, '04_RECIPE_DATABASE'!$B$5:$M$20, 12, FALSE)*D138, 0)))</f>
        <v/>
      </c>
      <c r="K138" s="7" t="n"/>
      <c r="L138" s="58" t="n"/>
      <c r="N138" s="108" t="n">
        <v>46447</v>
      </c>
      <c r="O138" s="109">
        <f>TEXT(N138, "dddd")</f>
        <v/>
      </c>
      <c r="P138" s="110">
        <f>IF(U138=0, "", SUMIFS($F$5:$F$1500, $A$5:$A$1500, N138))</f>
        <v/>
      </c>
      <c r="Q138" s="111">
        <f>IF(U138=0, "", SUMIFS($G$5:$G$1500, $A$5:$A$1500, N138))</f>
        <v/>
      </c>
      <c r="R138" s="111">
        <f>IF(U138=0, "", SUMIFS($H$5:$H$1500, $A$5:$A$1500, N138))</f>
        <v/>
      </c>
      <c r="S138" s="111">
        <f>IF(U138=0, "", SUMIFS($I$5:$I$1500, $A$5:$A$1500, N138))</f>
        <v/>
      </c>
      <c r="T138" s="110">
        <f>IF(U138=0, "", SUMIFS($J$5:$J$1500, $A$5:$A$1500, N138))</f>
        <v/>
      </c>
      <c r="U138" s="112">
        <f>COUNTIFS($A$5:$A$1500, N138)</f>
        <v/>
      </c>
      <c r="V138" s="113">
        <f>IF(U138=0, "CHƯA NHẬP", IF(U138&lt;3, "INCOMPLETE (Chưa đủ bữa)", "COMPLETE (Đầy đủ)"))</f>
        <v/>
      </c>
      <c r="W138" s="114">
        <f>IF(P138="", "", P138/'02_NUTRITION_SETUP'!$C$20)</f>
        <v/>
      </c>
      <c r="X138" s="114">
        <f>IF(Q138="", "", Q138/'02_NUTRITION_SETUP'!$C$21)</f>
        <v/>
      </c>
    </row>
    <row r="139" ht="22" customHeight="1">
      <c r="A139" s="57" t="n"/>
      <c r="B139" s="7" t="n"/>
      <c r="C139" s="58" t="n"/>
      <c r="D139" s="58" t="n"/>
      <c r="E139" s="7" t="n"/>
      <c r="F139" s="106">
        <f>IF(OR(C139="", D139=""), "", IFERROR(VLOOKUP(C139, '03_FOOD_DATABASE'!$B$5:$L$60, 6, FALSE)*D139/100, IFERROR(VLOOKUP(C139, '04_RECIPE_DATABASE'!$B$5:$M$20, 8, FALSE)*D139, 0)))</f>
        <v/>
      </c>
      <c r="G139" s="107">
        <f>IF(OR(C139="", D139=""), "", IFERROR(VLOOKUP(C139, '03_FOOD_DATABASE'!$B$5:$L$60, 7, FALSE)*D139/100, IFERROR(VLOOKUP(C139, '04_RECIPE_DATABASE'!$B$5:$M$20, 9, FALSE)*D139, 0)))</f>
        <v/>
      </c>
      <c r="H139" s="107">
        <f>IF(OR(C139="", D139=""), "", IFERROR(VLOOKUP(C139, '03_FOOD_DATABASE'!$B$5:$L$60, 8, FALSE)*D139/100, IFERROR(VLOOKUP(C139, '04_RECIPE_DATABASE'!$B$5:$M$20, 10, FALSE)*D139, 0)))</f>
        <v/>
      </c>
      <c r="I139" s="107">
        <f>IF(OR(C139="", D139=""), "", IFERROR(VLOOKUP(C139, '03_FOOD_DATABASE'!$B$5:$L$60, 9, FALSE)*D139/100, IFERROR(VLOOKUP(C139, '04_RECIPE_DATABASE'!$B$5:$M$20, 11, FALSE)*D139, 0)))</f>
        <v/>
      </c>
      <c r="J139" s="106">
        <f>IF(OR(C139="", D139=""), "", IFERROR(VLOOKUP(C139, '03_FOOD_DATABASE'!$B$5:$L$60, 11, FALSE)*D139/100, IFERROR(VLOOKUP(C139, '04_RECIPE_DATABASE'!$B$5:$M$20, 12, FALSE)*D139, 0)))</f>
        <v/>
      </c>
      <c r="K139" s="7" t="n"/>
      <c r="L139" s="58" t="n"/>
      <c r="N139" s="108" t="n">
        <v>46448</v>
      </c>
      <c r="O139" s="109">
        <f>TEXT(N139, "dddd")</f>
        <v/>
      </c>
      <c r="P139" s="110">
        <f>IF(U139=0, "", SUMIFS($F$5:$F$1500, $A$5:$A$1500, N139))</f>
        <v/>
      </c>
      <c r="Q139" s="111">
        <f>IF(U139=0, "", SUMIFS($G$5:$G$1500, $A$5:$A$1500, N139))</f>
        <v/>
      </c>
      <c r="R139" s="111">
        <f>IF(U139=0, "", SUMIFS($H$5:$H$1500, $A$5:$A$1500, N139))</f>
        <v/>
      </c>
      <c r="S139" s="111">
        <f>IF(U139=0, "", SUMIFS($I$5:$I$1500, $A$5:$A$1500, N139))</f>
        <v/>
      </c>
      <c r="T139" s="110">
        <f>IF(U139=0, "", SUMIFS($J$5:$J$1500, $A$5:$A$1500, N139))</f>
        <v/>
      </c>
      <c r="U139" s="112">
        <f>COUNTIFS($A$5:$A$1500, N139)</f>
        <v/>
      </c>
      <c r="V139" s="113">
        <f>IF(U139=0, "CHƯA NHẬP", IF(U139&lt;3, "INCOMPLETE (Chưa đủ bữa)", "COMPLETE (Đầy đủ)"))</f>
        <v/>
      </c>
      <c r="W139" s="114">
        <f>IF(P139="", "", P139/'02_NUTRITION_SETUP'!$C$20)</f>
        <v/>
      </c>
      <c r="X139" s="114">
        <f>IF(Q139="", "", Q139/'02_NUTRITION_SETUP'!$C$21)</f>
        <v/>
      </c>
    </row>
    <row r="140" ht="22" customHeight="1">
      <c r="A140" s="57" t="n"/>
      <c r="B140" s="7" t="n"/>
      <c r="C140" s="58" t="n"/>
      <c r="D140" s="58" t="n"/>
      <c r="E140" s="7" t="n"/>
      <c r="F140" s="106">
        <f>IF(OR(C140="", D140=""), "", IFERROR(VLOOKUP(C140, '03_FOOD_DATABASE'!$B$5:$L$60, 6, FALSE)*D140/100, IFERROR(VLOOKUP(C140, '04_RECIPE_DATABASE'!$B$5:$M$20, 8, FALSE)*D140, 0)))</f>
        <v/>
      </c>
      <c r="G140" s="107">
        <f>IF(OR(C140="", D140=""), "", IFERROR(VLOOKUP(C140, '03_FOOD_DATABASE'!$B$5:$L$60, 7, FALSE)*D140/100, IFERROR(VLOOKUP(C140, '04_RECIPE_DATABASE'!$B$5:$M$20, 9, FALSE)*D140, 0)))</f>
        <v/>
      </c>
      <c r="H140" s="107">
        <f>IF(OR(C140="", D140=""), "", IFERROR(VLOOKUP(C140, '03_FOOD_DATABASE'!$B$5:$L$60, 8, FALSE)*D140/100, IFERROR(VLOOKUP(C140, '04_RECIPE_DATABASE'!$B$5:$M$20, 10, FALSE)*D140, 0)))</f>
        <v/>
      </c>
      <c r="I140" s="107">
        <f>IF(OR(C140="", D140=""), "", IFERROR(VLOOKUP(C140, '03_FOOD_DATABASE'!$B$5:$L$60, 9, FALSE)*D140/100, IFERROR(VLOOKUP(C140, '04_RECIPE_DATABASE'!$B$5:$M$20, 11, FALSE)*D140, 0)))</f>
        <v/>
      </c>
      <c r="J140" s="106">
        <f>IF(OR(C140="", D140=""), "", IFERROR(VLOOKUP(C140, '03_FOOD_DATABASE'!$B$5:$L$60, 11, FALSE)*D140/100, IFERROR(VLOOKUP(C140, '04_RECIPE_DATABASE'!$B$5:$M$20, 12, FALSE)*D140, 0)))</f>
        <v/>
      </c>
      <c r="K140" s="7" t="n"/>
      <c r="L140" s="58" t="n"/>
      <c r="N140" s="108" t="n">
        <v>46449</v>
      </c>
      <c r="O140" s="109">
        <f>TEXT(N140, "dddd")</f>
        <v/>
      </c>
      <c r="P140" s="110">
        <f>IF(U140=0, "", SUMIFS($F$5:$F$1500, $A$5:$A$1500, N140))</f>
        <v/>
      </c>
      <c r="Q140" s="111">
        <f>IF(U140=0, "", SUMIFS($G$5:$G$1500, $A$5:$A$1500, N140))</f>
        <v/>
      </c>
      <c r="R140" s="111">
        <f>IF(U140=0, "", SUMIFS($H$5:$H$1500, $A$5:$A$1500, N140))</f>
        <v/>
      </c>
      <c r="S140" s="111">
        <f>IF(U140=0, "", SUMIFS($I$5:$I$1500, $A$5:$A$1500, N140))</f>
        <v/>
      </c>
      <c r="T140" s="110">
        <f>IF(U140=0, "", SUMIFS($J$5:$J$1500, $A$5:$A$1500, N140))</f>
        <v/>
      </c>
      <c r="U140" s="112">
        <f>COUNTIFS($A$5:$A$1500, N140)</f>
        <v/>
      </c>
      <c r="V140" s="113">
        <f>IF(U140=0, "CHƯA NHẬP", IF(U140&lt;3, "INCOMPLETE (Chưa đủ bữa)", "COMPLETE (Đầy đủ)"))</f>
        <v/>
      </c>
      <c r="W140" s="114">
        <f>IF(P140="", "", P140/'02_NUTRITION_SETUP'!$C$20)</f>
        <v/>
      </c>
      <c r="X140" s="114">
        <f>IF(Q140="", "", Q140/'02_NUTRITION_SETUP'!$C$21)</f>
        <v/>
      </c>
    </row>
    <row r="141" ht="22" customHeight="1">
      <c r="A141" s="57" t="n"/>
      <c r="B141" s="7" t="n"/>
      <c r="C141" s="58" t="n"/>
      <c r="D141" s="58" t="n"/>
      <c r="E141" s="7" t="n"/>
      <c r="F141" s="106">
        <f>IF(OR(C141="", D141=""), "", IFERROR(VLOOKUP(C141, '03_FOOD_DATABASE'!$B$5:$L$60, 6, FALSE)*D141/100, IFERROR(VLOOKUP(C141, '04_RECIPE_DATABASE'!$B$5:$M$20, 8, FALSE)*D141, 0)))</f>
        <v/>
      </c>
      <c r="G141" s="107">
        <f>IF(OR(C141="", D141=""), "", IFERROR(VLOOKUP(C141, '03_FOOD_DATABASE'!$B$5:$L$60, 7, FALSE)*D141/100, IFERROR(VLOOKUP(C141, '04_RECIPE_DATABASE'!$B$5:$M$20, 9, FALSE)*D141, 0)))</f>
        <v/>
      </c>
      <c r="H141" s="107">
        <f>IF(OR(C141="", D141=""), "", IFERROR(VLOOKUP(C141, '03_FOOD_DATABASE'!$B$5:$L$60, 8, FALSE)*D141/100, IFERROR(VLOOKUP(C141, '04_RECIPE_DATABASE'!$B$5:$M$20, 10, FALSE)*D141, 0)))</f>
        <v/>
      </c>
      <c r="I141" s="107">
        <f>IF(OR(C141="", D141=""), "", IFERROR(VLOOKUP(C141, '03_FOOD_DATABASE'!$B$5:$L$60, 9, FALSE)*D141/100, IFERROR(VLOOKUP(C141, '04_RECIPE_DATABASE'!$B$5:$M$20, 11, FALSE)*D141, 0)))</f>
        <v/>
      </c>
      <c r="J141" s="106">
        <f>IF(OR(C141="", D141=""), "", IFERROR(VLOOKUP(C141, '03_FOOD_DATABASE'!$B$5:$L$60, 11, FALSE)*D141/100, IFERROR(VLOOKUP(C141, '04_RECIPE_DATABASE'!$B$5:$M$20, 12, FALSE)*D141, 0)))</f>
        <v/>
      </c>
      <c r="K141" s="7" t="n"/>
      <c r="L141" s="58" t="n"/>
      <c r="N141" s="108" t="n">
        <v>46450</v>
      </c>
      <c r="O141" s="109">
        <f>TEXT(N141, "dddd")</f>
        <v/>
      </c>
      <c r="P141" s="110">
        <f>IF(U141=0, "", SUMIFS($F$5:$F$1500, $A$5:$A$1500, N141))</f>
        <v/>
      </c>
      <c r="Q141" s="111">
        <f>IF(U141=0, "", SUMIFS($G$5:$G$1500, $A$5:$A$1500, N141))</f>
        <v/>
      </c>
      <c r="R141" s="111">
        <f>IF(U141=0, "", SUMIFS($H$5:$H$1500, $A$5:$A$1500, N141))</f>
        <v/>
      </c>
      <c r="S141" s="111">
        <f>IF(U141=0, "", SUMIFS($I$5:$I$1500, $A$5:$A$1500, N141))</f>
        <v/>
      </c>
      <c r="T141" s="110">
        <f>IF(U141=0, "", SUMIFS($J$5:$J$1500, $A$5:$A$1500, N141))</f>
        <v/>
      </c>
      <c r="U141" s="112">
        <f>COUNTIFS($A$5:$A$1500, N141)</f>
        <v/>
      </c>
      <c r="V141" s="113">
        <f>IF(U141=0, "CHƯA NHẬP", IF(U141&lt;3, "INCOMPLETE (Chưa đủ bữa)", "COMPLETE (Đầy đủ)"))</f>
        <v/>
      </c>
      <c r="W141" s="114">
        <f>IF(P141="", "", P141/'02_NUTRITION_SETUP'!$C$20)</f>
        <v/>
      </c>
      <c r="X141" s="114">
        <f>IF(Q141="", "", Q141/'02_NUTRITION_SETUP'!$C$21)</f>
        <v/>
      </c>
    </row>
    <row r="142" ht="22" customHeight="1">
      <c r="A142" s="57" t="n"/>
      <c r="B142" s="7" t="n"/>
      <c r="C142" s="58" t="n"/>
      <c r="D142" s="58" t="n"/>
      <c r="E142" s="7" t="n"/>
      <c r="F142" s="106">
        <f>IF(OR(C142="", D142=""), "", IFERROR(VLOOKUP(C142, '03_FOOD_DATABASE'!$B$5:$L$60, 6, FALSE)*D142/100, IFERROR(VLOOKUP(C142, '04_RECIPE_DATABASE'!$B$5:$M$20, 8, FALSE)*D142, 0)))</f>
        <v/>
      </c>
      <c r="G142" s="107">
        <f>IF(OR(C142="", D142=""), "", IFERROR(VLOOKUP(C142, '03_FOOD_DATABASE'!$B$5:$L$60, 7, FALSE)*D142/100, IFERROR(VLOOKUP(C142, '04_RECIPE_DATABASE'!$B$5:$M$20, 9, FALSE)*D142, 0)))</f>
        <v/>
      </c>
      <c r="H142" s="107">
        <f>IF(OR(C142="", D142=""), "", IFERROR(VLOOKUP(C142, '03_FOOD_DATABASE'!$B$5:$L$60, 8, FALSE)*D142/100, IFERROR(VLOOKUP(C142, '04_RECIPE_DATABASE'!$B$5:$M$20, 10, FALSE)*D142, 0)))</f>
        <v/>
      </c>
      <c r="I142" s="107">
        <f>IF(OR(C142="", D142=""), "", IFERROR(VLOOKUP(C142, '03_FOOD_DATABASE'!$B$5:$L$60, 9, FALSE)*D142/100, IFERROR(VLOOKUP(C142, '04_RECIPE_DATABASE'!$B$5:$M$20, 11, FALSE)*D142, 0)))</f>
        <v/>
      </c>
      <c r="J142" s="106">
        <f>IF(OR(C142="", D142=""), "", IFERROR(VLOOKUP(C142, '03_FOOD_DATABASE'!$B$5:$L$60, 11, FALSE)*D142/100, IFERROR(VLOOKUP(C142, '04_RECIPE_DATABASE'!$B$5:$M$20, 12, FALSE)*D142, 0)))</f>
        <v/>
      </c>
      <c r="K142" s="7" t="n"/>
      <c r="L142" s="58" t="n"/>
      <c r="N142" s="108" t="n">
        <v>46451</v>
      </c>
      <c r="O142" s="109">
        <f>TEXT(N142, "dddd")</f>
        <v/>
      </c>
      <c r="P142" s="110">
        <f>IF(U142=0, "", SUMIFS($F$5:$F$1500, $A$5:$A$1500, N142))</f>
        <v/>
      </c>
      <c r="Q142" s="111">
        <f>IF(U142=0, "", SUMIFS($G$5:$G$1500, $A$5:$A$1500, N142))</f>
        <v/>
      </c>
      <c r="R142" s="111">
        <f>IF(U142=0, "", SUMIFS($H$5:$H$1500, $A$5:$A$1500, N142))</f>
        <v/>
      </c>
      <c r="S142" s="111">
        <f>IF(U142=0, "", SUMIFS($I$5:$I$1500, $A$5:$A$1500, N142))</f>
        <v/>
      </c>
      <c r="T142" s="110">
        <f>IF(U142=0, "", SUMIFS($J$5:$J$1500, $A$5:$A$1500, N142))</f>
        <v/>
      </c>
      <c r="U142" s="112">
        <f>COUNTIFS($A$5:$A$1500, N142)</f>
        <v/>
      </c>
      <c r="V142" s="113">
        <f>IF(U142=0, "CHƯA NHẬP", IF(U142&lt;3, "INCOMPLETE (Chưa đủ bữa)", "COMPLETE (Đầy đủ)"))</f>
        <v/>
      </c>
      <c r="W142" s="114">
        <f>IF(P142="", "", P142/'02_NUTRITION_SETUP'!$C$20)</f>
        <v/>
      </c>
      <c r="X142" s="114">
        <f>IF(Q142="", "", Q142/'02_NUTRITION_SETUP'!$C$21)</f>
        <v/>
      </c>
    </row>
    <row r="143" ht="22" customHeight="1">
      <c r="A143" s="57" t="n"/>
      <c r="B143" s="7" t="n"/>
      <c r="C143" s="58" t="n"/>
      <c r="D143" s="58" t="n"/>
      <c r="E143" s="7" t="n"/>
      <c r="F143" s="106">
        <f>IF(OR(C143="", D143=""), "", IFERROR(VLOOKUP(C143, '03_FOOD_DATABASE'!$B$5:$L$60, 6, FALSE)*D143/100, IFERROR(VLOOKUP(C143, '04_RECIPE_DATABASE'!$B$5:$M$20, 8, FALSE)*D143, 0)))</f>
        <v/>
      </c>
      <c r="G143" s="107">
        <f>IF(OR(C143="", D143=""), "", IFERROR(VLOOKUP(C143, '03_FOOD_DATABASE'!$B$5:$L$60, 7, FALSE)*D143/100, IFERROR(VLOOKUP(C143, '04_RECIPE_DATABASE'!$B$5:$M$20, 9, FALSE)*D143, 0)))</f>
        <v/>
      </c>
      <c r="H143" s="107">
        <f>IF(OR(C143="", D143=""), "", IFERROR(VLOOKUP(C143, '03_FOOD_DATABASE'!$B$5:$L$60, 8, FALSE)*D143/100, IFERROR(VLOOKUP(C143, '04_RECIPE_DATABASE'!$B$5:$M$20, 10, FALSE)*D143, 0)))</f>
        <v/>
      </c>
      <c r="I143" s="107">
        <f>IF(OR(C143="", D143=""), "", IFERROR(VLOOKUP(C143, '03_FOOD_DATABASE'!$B$5:$L$60, 9, FALSE)*D143/100, IFERROR(VLOOKUP(C143, '04_RECIPE_DATABASE'!$B$5:$M$20, 11, FALSE)*D143, 0)))</f>
        <v/>
      </c>
      <c r="J143" s="106">
        <f>IF(OR(C143="", D143=""), "", IFERROR(VLOOKUP(C143, '03_FOOD_DATABASE'!$B$5:$L$60, 11, FALSE)*D143/100, IFERROR(VLOOKUP(C143, '04_RECIPE_DATABASE'!$B$5:$M$20, 12, FALSE)*D143, 0)))</f>
        <v/>
      </c>
      <c r="K143" s="7" t="n"/>
      <c r="L143" s="58" t="n"/>
      <c r="N143" s="108" t="n">
        <v>46452</v>
      </c>
      <c r="O143" s="109">
        <f>TEXT(N143, "dddd")</f>
        <v/>
      </c>
      <c r="P143" s="110">
        <f>IF(U143=0, "", SUMIFS($F$5:$F$1500, $A$5:$A$1500, N143))</f>
        <v/>
      </c>
      <c r="Q143" s="111">
        <f>IF(U143=0, "", SUMIFS($G$5:$G$1500, $A$5:$A$1500, N143))</f>
        <v/>
      </c>
      <c r="R143" s="111">
        <f>IF(U143=0, "", SUMIFS($H$5:$H$1500, $A$5:$A$1500, N143))</f>
        <v/>
      </c>
      <c r="S143" s="111">
        <f>IF(U143=0, "", SUMIFS($I$5:$I$1500, $A$5:$A$1500, N143))</f>
        <v/>
      </c>
      <c r="T143" s="110">
        <f>IF(U143=0, "", SUMIFS($J$5:$J$1500, $A$5:$A$1500, N143))</f>
        <v/>
      </c>
      <c r="U143" s="112">
        <f>COUNTIFS($A$5:$A$1500, N143)</f>
        <v/>
      </c>
      <c r="V143" s="113">
        <f>IF(U143=0, "CHƯA NHẬP", IF(U143&lt;3, "INCOMPLETE (Chưa đủ bữa)", "COMPLETE (Đầy đủ)"))</f>
        <v/>
      </c>
      <c r="W143" s="114">
        <f>IF(P143="", "", P143/'02_NUTRITION_SETUP'!$C$20)</f>
        <v/>
      </c>
      <c r="X143" s="114">
        <f>IF(Q143="", "", Q143/'02_NUTRITION_SETUP'!$C$21)</f>
        <v/>
      </c>
    </row>
    <row r="144" ht="22" customHeight="1">
      <c r="A144" s="57" t="n"/>
      <c r="B144" s="7" t="n"/>
      <c r="C144" s="58" t="n"/>
      <c r="D144" s="58" t="n"/>
      <c r="E144" s="7" t="n"/>
      <c r="F144" s="106">
        <f>IF(OR(C144="", D144=""), "", IFERROR(VLOOKUP(C144, '03_FOOD_DATABASE'!$B$5:$L$60, 6, FALSE)*D144/100, IFERROR(VLOOKUP(C144, '04_RECIPE_DATABASE'!$B$5:$M$20, 8, FALSE)*D144, 0)))</f>
        <v/>
      </c>
      <c r="G144" s="107">
        <f>IF(OR(C144="", D144=""), "", IFERROR(VLOOKUP(C144, '03_FOOD_DATABASE'!$B$5:$L$60, 7, FALSE)*D144/100, IFERROR(VLOOKUP(C144, '04_RECIPE_DATABASE'!$B$5:$M$20, 9, FALSE)*D144, 0)))</f>
        <v/>
      </c>
      <c r="H144" s="107">
        <f>IF(OR(C144="", D144=""), "", IFERROR(VLOOKUP(C144, '03_FOOD_DATABASE'!$B$5:$L$60, 8, FALSE)*D144/100, IFERROR(VLOOKUP(C144, '04_RECIPE_DATABASE'!$B$5:$M$20, 10, FALSE)*D144, 0)))</f>
        <v/>
      </c>
      <c r="I144" s="107">
        <f>IF(OR(C144="", D144=""), "", IFERROR(VLOOKUP(C144, '03_FOOD_DATABASE'!$B$5:$L$60, 9, FALSE)*D144/100, IFERROR(VLOOKUP(C144, '04_RECIPE_DATABASE'!$B$5:$M$20, 11, FALSE)*D144, 0)))</f>
        <v/>
      </c>
      <c r="J144" s="106">
        <f>IF(OR(C144="", D144=""), "", IFERROR(VLOOKUP(C144, '03_FOOD_DATABASE'!$B$5:$L$60, 11, FALSE)*D144/100, IFERROR(VLOOKUP(C144, '04_RECIPE_DATABASE'!$B$5:$M$20, 12, FALSE)*D144, 0)))</f>
        <v/>
      </c>
      <c r="K144" s="7" t="n"/>
      <c r="L144" s="58" t="n"/>
      <c r="N144" s="108" t="n">
        <v>46453</v>
      </c>
      <c r="O144" s="109">
        <f>TEXT(N144, "dddd")</f>
        <v/>
      </c>
      <c r="P144" s="110">
        <f>IF(U144=0, "", SUMIFS($F$5:$F$1500, $A$5:$A$1500, N144))</f>
        <v/>
      </c>
      <c r="Q144" s="111">
        <f>IF(U144=0, "", SUMIFS($G$5:$G$1500, $A$5:$A$1500, N144))</f>
        <v/>
      </c>
      <c r="R144" s="111">
        <f>IF(U144=0, "", SUMIFS($H$5:$H$1500, $A$5:$A$1500, N144))</f>
        <v/>
      </c>
      <c r="S144" s="111">
        <f>IF(U144=0, "", SUMIFS($I$5:$I$1500, $A$5:$A$1500, N144))</f>
        <v/>
      </c>
      <c r="T144" s="110">
        <f>IF(U144=0, "", SUMIFS($J$5:$J$1500, $A$5:$A$1500, N144))</f>
        <v/>
      </c>
      <c r="U144" s="112">
        <f>COUNTIFS($A$5:$A$1500, N144)</f>
        <v/>
      </c>
      <c r="V144" s="113">
        <f>IF(U144=0, "CHƯA NHẬP", IF(U144&lt;3, "INCOMPLETE (Chưa đủ bữa)", "COMPLETE (Đầy đủ)"))</f>
        <v/>
      </c>
      <c r="W144" s="114">
        <f>IF(P144="", "", P144/'02_NUTRITION_SETUP'!$C$20)</f>
        <v/>
      </c>
      <c r="X144" s="114">
        <f>IF(Q144="", "", Q144/'02_NUTRITION_SETUP'!$C$21)</f>
        <v/>
      </c>
    </row>
    <row r="145" ht="22" customHeight="1">
      <c r="A145" s="57" t="n"/>
      <c r="B145" s="7" t="n"/>
      <c r="C145" s="58" t="n"/>
      <c r="D145" s="58" t="n"/>
      <c r="E145" s="7" t="n"/>
      <c r="F145" s="106">
        <f>IF(OR(C145="", D145=""), "", IFERROR(VLOOKUP(C145, '03_FOOD_DATABASE'!$B$5:$L$60, 6, FALSE)*D145/100, IFERROR(VLOOKUP(C145, '04_RECIPE_DATABASE'!$B$5:$M$20, 8, FALSE)*D145, 0)))</f>
        <v/>
      </c>
      <c r="G145" s="107">
        <f>IF(OR(C145="", D145=""), "", IFERROR(VLOOKUP(C145, '03_FOOD_DATABASE'!$B$5:$L$60, 7, FALSE)*D145/100, IFERROR(VLOOKUP(C145, '04_RECIPE_DATABASE'!$B$5:$M$20, 9, FALSE)*D145, 0)))</f>
        <v/>
      </c>
      <c r="H145" s="107">
        <f>IF(OR(C145="", D145=""), "", IFERROR(VLOOKUP(C145, '03_FOOD_DATABASE'!$B$5:$L$60, 8, FALSE)*D145/100, IFERROR(VLOOKUP(C145, '04_RECIPE_DATABASE'!$B$5:$M$20, 10, FALSE)*D145, 0)))</f>
        <v/>
      </c>
      <c r="I145" s="107">
        <f>IF(OR(C145="", D145=""), "", IFERROR(VLOOKUP(C145, '03_FOOD_DATABASE'!$B$5:$L$60, 9, FALSE)*D145/100, IFERROR(VLOOKUP(C145, '04_RECIPE_DATABASE'!$B$5:$M$20, 11, FALSE)*D145, 0)))</f>
        <v/>
      </c>
      <c r="J145" s="106">
        <f>IF(OR(C145="", D145=""), "", IFERROR(VLOOKUP(C145, '03_FOOD_DATABASE'!$B$5:$L$60, 11, FALSE)*D145/100, IFERROR(VLOOKUP(C145, '04_RECIPE_DATABASE'!$B$5:$M$20, 12, FALSE)*D145, 0)))</f>
        <v/>
      </c>
      <c r="K145" s="7" t="n"/>
      <c r="L145" s="58" t="n"/>
      <c r="N145" s="108" t="n">
        <v>46454</v>
      </c>
      <c r="O145" s="109">
        <f>TEXT(N145, "dddd")</f>
        <v/>
      </c>
      <c r="P145" s="110">
        <f>IF(U145=0, "", SUMIFS($F$5:$F$1500, $A$5:$A$1500, N145))</f>
        <v/>
      </c>
      <c r="Q145" s="111">
        <f>IF(U145=0, "", SUMIFS($G$5:$G$1500, $A$5:$A$1500, N145))</f>
        <v/>
      </c>
      <c r="R145" s="111">
        <f>IF(U145=0, "", SUMIFS($H$5:$H$1500, $A$5:$A$1500, N145))</f>
        <v/>
      </c>
      <c r="S145" s="111">
        <f>IF(U145=0, "", SUMIFS($I$5:$I$1500, $A$5:$A$1500, N145))</f>
        <v/>
      </c>
      <c r="T145" s="110">
        <f>IF(U145=0, "", SUMIFS($J$5:$J$1500, $A$5:$A$1500, N145))</f>
        <v/>
      </c>
      <c r="U145" s="112">
        <f>COUNTIFS($A$5:$A$1500, N145)</f>
        <v/>
      </c>
      <c r="V145" s="113">
        <f>IF(U145=0, "CHƯA NHẬP", IF(U145&lt;3, "INCOMPLETE (Chưa đủ bữa)", "COMPLETE (Đầy đủ)"))</f>
        <v/>
      </c>
      <c r="W145" s="114">
        <f>IF(P145="", "", P145/'02_NUTRITION_SETUP'!$C$20)</f>
        <v/>
      </c>
      <c r="X145" s="114">
        <f>IF(Q145="", "", Q145/'02_NUTRITION_SETUP'!$C$21)</f>
        <v/>
      </c>
    </row>
    <row r="146" ht="22" customHeight="1">
      <c r="A146" s="57" t="n"/>
      <c r="B146" s="7" t="n"/>
      <c r="C146" s="58" t="n"/>
      <c r="D146" s="58" t="n"/>
      <c r="E146" s="7" t="n"/>
      <c r="F146" s="106">
        <f>IF(OR(C146="", D146=""), "", IFERROR(VLOOKUP(C146, '03_FOOD_DATABASE'!$B$5:$L$60, 6, FALSE)*D146/100, IFERROR(VLOOKUP(C146, '04_RECIPE_DATABASE'!$B$5:$M$20, 8, FALSE)*D146, 0)))</f>
        <v/>
      </c>
      <c r="G146" s="107">
        <f>IF(OR(C146="", D146=""), "", IFERROR(VLOOKUP(C146, '03_FOOD_DATABASE'!$B$5:$L$60, 7, FALSE)*D146/100, IFERROR(VLOOKUP(C146, '04_RECIPE_DATABASE'!$B$5:$M$20, 9, FALSE)*D146, 0)))</f>
        <v/>
      </c>
      <c r="H146" s="107">
        <f>IF(OR(C146="", D146=""), "", IFERROR(VLOOKUP(C146, '03_FOOD_DATABASE'!$B$5:$L$60, 8, FALSE)*D146/100, IFERROR(VLOOKUP(C146, '04_RECIPE_DATABASE'!$B$5:$M$20, 10, FALSE)*D146, 0)))</f>
        <v/>
      </c>
      <c r="I146" s="107">
        <f>IF(OR(C146="", D146=""), "", IFERROR(VLOOKUP(C146, '03_FOOD_DATABASE'!$B$5:$L$60, 9, FALSE)*D146/100, IFERROR(VLOOKUP(C146, '04_RECIPE_DATABASE'!$B$5:$M$20, 11, FALSE)*D146, 0)))</f>
        <v/>
      </c>
      <c r="J146" s="106">
        <f>IF(OR(C146="", D146=""), "", IFERROR(VLOOKUP(C146, '03_FOOD_DATABASE'!$B$5:$L$60, 11, FALSE)*D146/100, IFERROR(VLOOKUP(C146, '04_RECIPE_DATABASE'!$B$5:$M$20, 12, FALSE)*D146, 0)))</f>
        <v/>
      </c>
      <c r="K146" s="7" t="n"/>
      <c r="L146" s="58" t="n"/>
      <c r="N146" s="108" t="n">
        <v>46455</v>
      </c>
      <c r="O146" s="109">
        <f>TEXT(N146, "dddd")</f>
        <v/>
      </c>
      <c r="P146" s="110">
        <f>IF(U146=0, "", SUMIFS($F$5:$F$1500, $A$5:$A$1500, N146))</f>
        <v/>
      </c>
      <c r="Q146" s="111">
        <f>IF(U146=0, "", SUMIFS($G$5:$G$1500, $A$5:$A$1500, N146))</f>
        <v/>
      </c>
      <c r="R146" s="111">
        <f>IF(U146=0, "", SUMIFS($H$5:$H$1500, $A$5:$A$1500, N146))</f>
        <v/>
      </c>
      <c r="S146" s="111">
        <f>IF(U146=0, "", SUMIFS($I$5:$I$1500, $A$5:$A$1500, N146))</f>
        <v/>
      </c>
      <c r="T146" s="110">
        <f>IF(U146=0, "", SUMIFS($J$5:$J$1500, $A$5:$A$1500, N146))</f>
        <v/>
      </c>
      <c r="U146" s="112">
        <f>COUNTIFS($A$5:$A$1500, N146)</f>
        <v/>
      </c>
      <c r="V146" s="113">
        <f>IF(U146=0, "CHƯA NHẬP", IF(U146&lt;3, "INCOMPLETE (Chưa đủ bữa)", "COMPLETE (Đầy đủ)"))</f>
        <v/>
      </c>
      <c r="W146" s="114">
        <f>IF(P146="", "", P146/'02_NUTRITION_SETUP'!$C$20)</f>
        <v/>
      </c>
      <c r="X146" s="114">
        <f>IF(Q146="", "", Q146/'02_NUTRITION_SETUP'!$C$21)</f>
        <v/>
      </c>
    </row>
    <row r="147" ht="22" customHeight="1">
      <c r="A147" s="57" t="n"/>
      <c r="B147" s="7" t="n"/>
      <c r="C147" s="58" t="n"/>
      <c r="D147" s="58" t="n"/>
      <c r="E147" s="7" t="n"/>
      <c r="F147" s="106">
        <f>IF(OR(C147="", D147=""), "", IFERROR(VLOOKUP(C147, '03_FOOD_DATABASE'!$B$5:$L$60, 6, FALSE)*D147/100, IFERROR(VLOOKUP(C147, '04_RECIPE_DATABASE'!$B$5:$M$20, 8, FALSE)*D147, 0)))</f>
        <v/>
      </c>
      <c r="G147" s="107">
        <f>IF(OR(C147="", D147=""), "", IFERROR(VLOOKUP(C147, '03_FOOD_DATABASE'!$B$5:$L$60, 7, FALSE)*D147/100, IFERROR(VLOOKUP(C147, '04_RECIPE_DATABASE'!$B$5:$M$20, 9, FALSE)*D147, 0)))</f>
        <v/>
      </c>
      <c r="H147" s="107">
        <f>IF(OR(C147="", D147=""), "", IFERROR(VLOOKUP(C147, '03_FOOD_DATABASE'!$B$5:$L$60, 8, FALSE)*D147/100, IFERROR(VLOOKUP(C147, '04_RECIPE_DATABASE'!$B$5:$M$20, 10, FALSE)*D147, 0)))</f>
        <v/>
      </c>
      <c r="I147" s="107">
        <f>IF(OR(C147="", D147=""), "", IFERROR(VLOOKUP(C147, '03_FOOD_DATABASE'!$B$5:$L$60, 9, FALSE)*D147/100, IFERROR(VLOOKUP(C147, '04_RECIPE_DATABASE'!$B$5:$M$20, 11, FALSE)*D147, 0)))</f>
        <v/>
      </c>
      <c r="J147" s="106">
        <f>IF(OR(C147="", D147=""), "", IFERROR(VLOOKUP(C147, '03_FOOD_DATABASE'!$B$5:$L$60, 11, FALSE)*D147/100, IFERROR(VLOOKUP(C147, '04_RECIPE_DATABASE'!$B$5:$M$20, 12, FALSE)*D147, 0)))</f>
        <v/>
      </c>
      <c r="K147" s="7" t="n"/>
      <c r="L147" s="58" t="n"/>
      <c r="N147" s="108" t="n">
        <v>46456</v>
      </c>
      <c r="O147" s="109">
        <f>TEXT(N147, "dddd")</f>
        <v/>
      </c>
      <c r="P147" s="110">
        <f>IF(U147=0, "", SUMIFS($F$5:$F$1500, $A$5:$A$1500, N147))</f>
        <v/>
      </c>
      <c r="Q147" s="111">
        <f>IF(U147=0, "", SUMIFS($G$5:$G$1500, $A$5:$A$1500, N147))</f>
        <v/>
      </c>
      <c r="R147" s="111">
        <f>IF(U147=0, "", SUMIFS($H$5:$H$1500, $A$5:$A$1500, N147))</f>
        <v/>
      </c>
      <c r="S147" s="111">
        <f>IF(U147=0, "", SUMIFS($I$5:$I$1500, $A$5:$A$1500, N147))</f>
        <v/>
      </c>
      <c r="T147" s="110">
        <f>IF(U147=0, "", SUMIFS($J$5:$J$1500, $A$5:$A$1500, N147))</f>
        <v/>
      </c>
      <c r="U147" s="112">
        <f>COUNTIFS($A$5:$A$1500, N147)</f>
        <v/>
      </c>
      <c r="V147" s="113">
        <f>IF(U147=0, "CHƯA NHẬP", IF(U147&lt;3, "INCOMPLETE (Chưa đủ bữa)", "COMPLETE (Đầy đủ)"))</f>
        <v/>
      </c>
      <c r="W147" s="114">
        <f>IF(P147="", "", P147/'02_NUTRITION_SETUP'!$C$20)</f>
        <v/>
      </c>
      <c r="X147" s="114">
        <f>IF(Q147="", "", Q147/'02_NUTRITION_SETUP'!$C$21)</f>
        <v/>
      </c>
    </row>
    <row r="148" ht="22" customHeight="1">
      <c r="A148" s="57" t="n"/>
      <c r="B148" s="7" t="n"/>
      <c r="C148" s="58" t="n"/>
      <c r="D148" s="58" t="n"/>
      <c r="E148" s="7" t="n"/>
      <c r="F148" s="106">
        <f>IF(OR(C148="", D148=""), "", IFERROR(VLOOKUP(C148, '03_FOOD_DATABASE'!$B$5:$L$60, 6, FALSE)*D148/100, IFERROR(VLOOKUP(C148, '04_RECIPE_DATABASE'!$B$5:$M$20, 8, FALSE)*D148, 0)))</f>
        <v/>
      </c>
      <c r="G148" s="107">
        <f>IF(OR(C148="", D148=""), "", IFERROR(VLOOKUP(C148, '03_FOOD_DATABASE'!$B$5:$L$60, 7, FALSE)*D148/100, IFERROR(VLOOKUP(C148, '04_RECIPE_DATABASE'!$B$5:$M$20, 9, FALSE)*D148, 0)))</f>
        <v/>
      </c>
      <c r="H148" s="107">
        <f>IF(OR(C148="", D148=""), "", IFERROR(VLOOKUP(C148, '03_FOOD_DATABASE'!$B$5:$L$60, 8, FALSE)*D148/100, IFERROR(VLOOKUP(C148, '04_RECIPE_DATABASE'!$B$5:$M$20, 10, FALSE)*D148, 0)))</f>
        <v/>
      </c>
      <c r="I148" s="107">
        <f>IF(OR(C148="", D148=""), "", IFERROR(VLOOKUP(C148, '03_FOOD_DATABASE'!$B$5:$L$60, 9, FALSE)*D148/100, IFERROR(VLOOKUP(C148, '04_RECIPE_DATABASE'!$B$5:$M$20, 11, FALSE)*D148, 0)))</f>
        <v/>
      </c>
      <c r="J148" s="106">
        <f>IF(OR(C148="", D148=""), "", IFERROR(VLOOKUP(C148, '03_FOOD_DATABASE'!$B$5:$L$60, 11, FALSE)*D148/100, IFERROR(VLOOKUP(C148, '04_RECIPE_DATABASE'!$B$5:$M$20, 12, FALSE)*D148, 0)))</f>
        <v/>
      </c>
      <c r="K148" s="7" t="n"/>
      <c r="L148" s="58" t="n"/>
      <c r="N148" s="108" t="n">
        <v>46457</v>
      </c>
      <c r="O148" s="109">
        <f>TEXT(N148, "dddd")</f>
        <v/>
      </c>
      <c r="P148" s="110">
        <f>IF(U148=0, "", SUMIFS($F$5:$F$1500, $A$5:$A$1500, N148))</f>
        <v/>
      </c>
      <c r="Q148" s="111">
        <f>IF(U148=0, "", SUMIFS($G$5:$G$1500, $A$5:$A$1500, N148))</f>
        <v/>
      </c>
      <c r="R148" s="111">
        <f>IF(U148=0, "", SUMIFS($H$5:$H$1500, $A$5:$A$1500, N148))</f>
        <v/>
      </c>
      <c r="S148" s="111">
        <f>IF(U148=0, "", SUMIFS($I$5:$I$1500, $A$5:$A$1500, N148))</f>
        <v/>
      </c>
      <c r="T148" s="110">
        <f>IF(U148=0, "", SUMIFS($J$5:$J$1500, $A$5:$A$1500, N148))</f>
        <v/>
      </c>
      <c r="U148" s="112">
        <f>COUNTIFS($A$5:$A$1500, N148)</f>
        <v/>
      </c>
      <c r="V148" s="113">
        <f>IF(U148=0, "CHƯA NHẬP", IF(U148&lt;3, "INCOMPLETE (Chưa đủ bữa)", "COMPLETE (Đầy đủ)"))</f>
        <v/>
      </c>
      <c r="W148" s="114">
        <f>IF(P148="", "", P148/'02_NUTRITION_SETUP'!$C$20)</f>
        <v/>
      </c>
      <c r="X148" s="114">
        <f>IF(Q148="", "", Q148/'02_NUTRITION_SETUP'!$C$21)</f>
        <v/>
      </c>
    </row>
    <row r="149" ht="22" customHeight="1">
      <c r="A149" s="57" t="n"/>
      <c r="B149" s="7" t="n"/>
      <c r="C149" s="58" t="n"/>
      <c r="D149" s="58" t="n"/>
      <c r="E149" s="7" t="n"/>
      <c r="F149" s="106">
        <f>IF(OR(C149="", D149=""), "", IFERROR(VLOOKUP(C149, '03_FOOD_DATABASE'!$B$5:$L$60, 6, FALSE)*D149/100, IFERROR(VLOOKUP(C149, '04_RECIPE_DATABASE'!$B$5:$M$20, 8, FALSE)*D149, 0)))</f>
        <v/>
      </c>
      <c r="G149" s="107">
        <f>IF(OR(C149="", D149=""), "", IFERROR(VLOOKUP(C149, '03_FOOD_DATABASE'!$B$5:$L$60, 7, FALSE)*D149/100, IFERROR(VLOOKUP(C149, '04_RECIPE_DATABASE'!$B$5:$M$20, 9, FALSE)*D149, 0)))</f>
        <v/>
      </c>
      <c r="H149" s="107">
        <f>IF(OR(C149="", D149=""), "", IFERROR(VLOOKUP(C149, '03_FOOD_DATABASE'!$B$5:$L$60, 8, FALSE)*D149/100, IFERROR(VLOOKUP(C149, '04_RECIPE_DATABASE'!$B$5:$M$20, 10, FALSE)*D149, 0)))</f>
        <v/>
      </c>
      <c r="I149" s="107">
        <f>IF(OR(C149="", D149=""), "", IFERROR(VLOOKUP(C149, '03_FOOD_DATABASE'!$B$5:$L$60, 9, FALSE)*D149/100, IFERROR(VLOOKUP(C149, '04_RECIPE_DATABASE'!$B$5:$M$20, 11, FALSE)*D149, 0)))</f>
        <v/>
      </c>
      <c r="J149" s="106">
        <f>IF(OR(C149="", D149=""), "", IFERROR(VLOOKUP(C149, '03_FOOD_DATABASE'!$B$5:$L$60, 11, FALSE)*D149/100, IFERROR(VLOOKUP(C149, '04_RECIPE_DATABASE'!$B$5:$M$20, 12, FALSE)*D149, 0)))</f>
        <v/>
      </c>
      <c r="K149" s="7" t="n"/>
      <c r="L149" s="58" t="n"/>
      <c r="N149" s="108" t="n">
        <v>46458</v>
      </c>
      <c r="O149" s="109">
        <f>TEXT(N149, "dddd")</f>
        <v/>
      </c>
      <c r="P149" s="110">
        <f>IF(U149=0, "", SUMIFS($F$5:$F$1500, $A$5:$A$1500, N149))</f>
        <v/>
      </c>
      <c r="Q149" s="111">
        <f>IF(U149=0, "", SUMIFS($G$5:$G$1500, $A$5:$A$1500, N149))</f>
        <v/>
      </c>
      <c r="R149" s="111">
        <f>IF(U149=0, "", SUMIFS($H$5:$H$1500, $A$5:$A$1500, N149))</f>
        <v/>
      </c>
      <c r="S149" s="111">
        <f>IF(U149=0, "", SUMIFS($I$5:$I$1500, $A$5:$A$1500, N149))</f>
        <v/>
      </c>
      <c r="T149" s="110">
        <f>IF(U149=0, "", SUMIFS($J$5:$J$1500, $A$5:$A$1500, N149))</f>
        <v/>
      </c>
      <c r="U149" s="112">
        <f>COUNTIFS($A$5:$A$1500, N149)</f>
        <v/>
      </c>
      <c r="V149" s="113">
        <f>IF(U149=0, "CHƯA NHẬP", IF(U149&lt;3, "INCOMPLETE (Chưa đủ bữa)", "COMPLETE (Đầy đủ)"))</f>
        <v/>
      </c>
      <c r="W149" s="114">
        <f>IF(P149="", "", P149/'02_NUTRITION_SETUP'!$C$20)</f>
        <v/>
      </c>
      <c r="X149" s="114">
        <f>IF(Q149="", "", Q149/'02_NUTRITION_SETUP'!$C$21)</f>
        <v/>
      </c>
    </row>
    <row r="150" ht="22" customHeight="1">
      <c r="A150" s="57" t="n"/>
      <c r="B150" s="7" t="n"/>
      <c r="C150" s="58" t="n"/>
      <c r="D150" s="58" t="n"/>
      <c r="E150" s="7" t="n"/>
      <c r="F150" s="106">
        <f>IF(OR(C150="", D150=""), "", IFERROR(VLOOKUP(C150, '03_FOOD_DATABASE'!$B$5:$L$60, 6, FALSE)*D150/100, IFERROR(VLOOKUP(C150, '04_RECIPE_DATABASE'!$B$5:$M$20, 8, FALSE)*D150, 0)))</f>
        <v/>
      </c>
      <c r="G150" s="107">
        <f>IF(OR(C150="", D150=""), "", IFERROR(VLOOKUP(C150, '03_FOOD_DATABASE'!$B$5:$L$60, 7, FALSE)*D150/100, IFERROR(VLOOKUP(C150, '04_RECIPE_DATABASE'!$B$5:$M$20, 9, FALSE)*D150, 0)))</f>
        <v/>
      </c>
      <c r="H150" s="107">
        <f>IF(OR(C150="", D150=""), "", IFERROR(VLOOKUP(C150, '03_FOOD_DATABASE'!$B$5:$L$60, 8, FALSE)*D150/100, IFERROR(VLOOKUP(C150, '04_RECIPE_DATABASE'!$B$5:$M$20, 10, FALSE)*D150, 0)))</f>
        <v/>
      </c>
      <c r="I150" s="107">
        <f>IF(OR(C150="", D150=""), "", IFERROR(VLOOKUP(C150, '03_FOOD_DATABASE'!$B$5:$L$60, 9, FALSE)*D150/100, IFERROR(VLOOKUP(C150, '04_RECIPE_DATABASE'!$B$5:$M$20, 11, FALSE)*D150, 0)))</f>
        <v/>
      </c>
      <c r="J150" s="106">
        <f>IF(OR(C150="", D150=""), "", IFERROR(VLOOKUP(C150, '03_FOOD_DATABASE'!$B$5:$L$60, 11, FALSE)*D150/100, IFERROR(VLOOKUP(C150, '04_RECIPE_DATABASE'!$B$5:$M$20, 12, FALSE)*D150, 0)))</f>
        <v/>
      </c>
      <c r="K150" s="7" t="n"/>
      <c r="L150" s="58" t="n"/>
      <c r="N150" s="108" t="n">
        <v>46459</v>
      </c>
      <c r="O150" s="109">
        <f>TEXT(N150, "dddd")</f>
        <v/>
      </c>
      <c r="P150" s="110">
        <f>IF(U150=0, "", SUMIFS($F$5:$F$1500, $A$5:$A$1500, N150))</f>
        <v/>
      </c>
      <c r="Q150" s="111">
        <f>IF(U150=0, "", SUMIFS($G$5:$G$1500, $A$5:$A$1500, N150))</f>
        <v/>
      </c>
      <c r="R150" s="111">
        <f>IF(U150=0, "", SUMIFS($H$5:$H$1500, $A$5:$A$1500, N150))</f>
        <v/>
      </c>
      <c r="S150" s="111">
        <f>IF(U150=0, "", SUMIFS($I$5:$I$1500, $A$5:$A$1500, N150))</f>
        <v/>
      </c>
      <c r="T150" s="110">
        <f>IF(U150=0, "", SUMIFS($J$5:$J$1500, $A$5:$A$1500, N150))</f>
        <v/>
      </c>
      <c r="U150" s="112">
        <f>COUNTIFS($A$5:$A$1500, N150)</f>
        <v/>
      </c>
      <c r="V150" s="113">
        <f>IF(U150=0, "CHƯA NHẬP", IF(U150&lt;3, "INCOMPLETE (Chưa đủ bữa)", "COMPLETE (Đầy đủ)"))</f>
        <v/>
      </c>
      <c r="W150" s="114">
        <f>IF(P150="", "", P150/'02_NUTRITION_SETUP'!$C$20)</f>
        <v/>
      </c>
      <c r="X150" s="114">
        <f>IF(Q150="", "", Q150/'02_NUTRITION_SETUP'!$C$21)</f>
        <v/>
      </c>
    </row>
    <row r="151" ht="22" customHeight="1">
      <c r="A151" s="57" t="n"/>
      <c r="B151" s="7" t="n"/>
      <c r="C151" s="58" t="n"/>
      <c r="D151" s="58" t="n"/>
      <c r="E151" s="7" t="n"/>
      <c r="F151" s="106">
        <f>IF(OR(C151="", D151=""), "", IFERROR(VLOOKUP(C151, '03_FOOD_DATABASE'!$B$5:$L$60, 6, FALSE)*D151/100, IFERROR(VLOOKUP(C151, '04_RECIPE_DATABASE'!$B$5:$M$20, 8, FALSE)*D151, 0)))</f>
        <v/>
      </c>
      <c r="G151" s="107">
        <f>IF(OR(C151="", D151=""), "", IFERROR(VLOOKUP(C151, '03_FOOD_DATABASE'!$B$5:$L$60, 7, FALSE)*D151/100, IFERROR(VLOOKUP(C151, '04_RECIPE_DATABASE'!$B$5:$M$20, 9, FALSE)*D151, 0)))</f>
        <v/>
      </c>
      <c r="H151" s="107">
        <f>IF(OR(C151="", D151=""), "", IFERROR(VLOOKUP(C151, '03_FOOD_DATABASE'!$B$5:$L$60, 8, FALSE)*D151/100, IFERROR(VLOOKUP(C151, '04_RECIPE_DATABASE'!$B$5:$M$20, 10, FALSE)*D151, 0)))</f>
        <v/>
      </c>
      <c r="I151" s="107">
        <f>IF(OR(C151="", D151=""), "", IFERROR(VLOOKUP(C151, '03_FOOD_DATABASE'!$B$5:$L$60, 9, FALSE)*D151/100, IFERROR(VLOOKUP(C151, '04_RECIPE_DATABASE'!$B$5:$M$20, 11, FALSE)*D151, 0)))</f>
        <v/>
      </c>
      <c r="J151" s="106">
        <f>IF(OR(C151="", D151=""), "", IFERROR(VLOOKUP(C151, '03_FOOD_DATABASE'!$B$5:$L$60, 11, FALSE)*D151/100, IFERROR(VLOOKUP(C151, '04_RECIPE_DATABASE'!$B$5:$M$20, 12, FALSE)*D151, 0)))</f>
        <v/>
      </c>
      <c r="K151" s="7" t="n"/>
      <c r="L151" s="58" t="n"/>
      <c r="N151" s="108" t="n">
        <v>46460</v>
      </c>
      <c r="O151" s="109">
        <f>TEXT(N151, "dddd")</f>
        <v/>
      </c>
      <c r="P151" s="110">
        <f>IF(U151=0, "", SUMIFS($F$5:$F$1500, $A$5:$A$1500, N151))</f>
        <v/>
      </c>
      <c r="Q151" s="111">
        <f>IF(U151=0, "", SUMIFS($G$5:$G$1500, $A$5:$A$1500, N151))</f>
        <v/>
      </c>
      <c r="R151" s="111">
        <f>IF(U151=0, "", SUMIFS($H$5:$H$1500, $A$5:$A$1500, N151))</f>
        <v/>
      </c>
      <c r="S151" s="111">
        <f>IF(U151=0, "", SUMIFS($I$5:$I$1500, $A$5:$A$1500, N151))</f>
        <v/>
      </c>
      <c r="T151" s="110">
        <f>IF(U151=0, "", SUMIFS($J$5:$J$1500, $A$5:$A$1500, N151))</f>
        <v/>
      </c>
      <c r="U151" s="112">
        <f>COUNTIFS($A$5:$A$1500, N151)</f>
        <v/>
      </c>
      <c r="V151" s="113">
        <f>IF(U151=0, "CHƯA NHẬP", IF(U151&lt;3, "INCOMPLETE (Chưa đủ bữa)", "COMPLETE (Đầy đủ)"))</f>
        <v/>
      </c>
      <c r="W151" s="114">
        <f>IF(P151="", "", P151/'02_NUTRITION_SETUP'!$C$20)</f>
        <v/>
      </c>
      <c r="X151" s="114">
        <f>IF(Q151="", "", Q151/'02_NUTRITION_SETUP'!$C$21)</f>
        <v/>
      </c>
    </row>
    <row r="152" ht="22" customHeight="1">
      <c r="A152" s="57" t="n"/>
      <c r="B152" s="7" t="n"/>
      <c r="C152" s="58" t="n"/>
      <c r="D152" s="58" t="n"/>
      <c r="E152" s="7" t="n"/>
      <c r="F152" s="106">
        <f>IF(OR(C152="", D152=""), "", IFERROR(VLOOKUP(C152, '03_FOOD_DATABASE'!$B$5:$L$60, 6, FALSE)*D152/100, IFERROR(VLOOKUP(C152, '04_RECIPE_DATABASE'!$B$5:$M$20, 8, FALSE)*D152, 0)))</f>
        <v/>
      </c>
      <c r="G152" s="107">
        <f>IF(OR(C152="", D152=""), "", IFERROR(VLOOKUP(C152, '03_FOOD_DATABASE'!$B$5:$L$60, 7, FALSE)*D152/100, IFERROR(VLOOKUP(C152, '04_RECIPE_DATABASE'!$B$5:$M$20, 9, FALSE)*D152, 0)))</f>
        <v/>
      </c>
      <c r="H152" s="107">
        <f>IF(OR(C152="", D152=""), "", IFERROR(VLOOKUP(C152, '03_FOOD_DATABASE'!$B$5:$L$60, 8, FALSE)*D152/100, IFERROR(VLOOKUP(C152, '04_RECIPE_DATABASE'!$B$5:$M$20, 10, FALSE)*D152, 0)))</f>
        <v/>
      </c>
      <c r="I152" s="107">
        <f>IF(OR(C152="", D152=""), "", IFERROR(VLOOKUP(C152, '03_FOOD_DATABASE'!$B$5:$L$60, 9, FALSE)*D152/100, IFERROR(VLOOKUP(C152, '04_RECIPE_DATABASE'!$B$5:$M$20, 11, FALSE)*D152, 0)))</f>
        <v/>
      </c>
      <c r="J152" s="106">
        <f>IF(OR(C152="", D152=""), "", IFERROR(VLOOKUP(C152, '03_FOOD_DATABASE'!$B$5:$L$60, 11, FALSE)*D152/100, IFERROR(VLOOKUP(C152, '04_RECIPE_DATABASE'!$B$5:$M$20, 12, FALSE)*D152, 0)))</f>
        <v/>
      </c>
      <c r="K152" s="7" t="n"/>
      <c r="L152" s="58" t="n"/>
      <c r="N152" s="108" t="n">
        <v>46461</v>
      </c>
      <c r="O152" s="109">
        <f>TEXT(N152, "dddd")</f>
        <v/>
      </c>
      <c r="P152" s="110">
        <f>IF(U152=0, "", SUMIFS($F$5:$F$1500, $A$5:$A$1500, N152))</f>
        <v/>
      </c>
      <c r="Q152" s="111">
        <f>IF(U152=0, "", SUMIFS($G$5:$G$1500, $A$5:$A$1500, N152))</f>
        <v/>
      </c>
      <c r="R152" s="111">
        <f>IF(U152=0, "", SUMIFS($H$5:$H$1500, $A$5:$A$1500, N152))</f>
        <v/>
      </c>
      <c r="S152" s="111">
        <f>IF(U152=0, "", SUMIFS($I$5:$I$1500, $A$5:$A$1500, N152))</f>
        <v/>
      </c>
      <c r="T152" s="110">
        <f>IF(U152=0, "", SUMIFS($J$5:$J$1500, $A$5:$A$1500, N152))</f>
        <v/>
      </c>
      <c r="U152" s="112">
        <f>COUNTIFS($A$5:$A$1500, N152)</f>
        <v/>
      </c>
      <c r="V152" s="113">
        <f>IF(U152=0, "CHƯA NHẬP", IF(U152&lt;3, "INCOMPLETE (Chưa đủ bữa)", "COMPLETE (Đầy đủ)"))</f>
        <v/>
      </c>
      <c r="W152" s="114">
        <f>IF(P152="", "", P152/'02_NUTRITION_SETUP'!$C$20)</f>
        <v/>
      </c>
      <c r="X152" s="114">
        <f>IF(Q152="", "", Q152/'02_NUTRITION_SETUP'!$C$21)</f>
        <v/>
      </c>
    </row>
    <row r="153" ht="22" customHeight="1">
      <c r="A153" s="57" t="n"/>
      <c r="B153" s="7" t="n"/>
      <c r="C153" s="58" t="n"/>
      <c r="D153" s="58" t="n"/>
      <c r="E153" s="7" t="n"/>
      <c r="F153" s="106">
        <f>IF(OR(C153="", D153=""), "", IFERROR(VLOOKUP(C153, '03_FOOD_DATABASE'!$B$5:$L$60, 6, FALSE)*D153/100, IFERROR(VLOOKUP(C153, '04_RECIPE_DATABASE'!$B$5:$M$20, 8, FALSE)*D153, 0)))</f>
        <v/>
      </c>
      <c r="G153" s="107">
        <f>IF(OR(C153="", D153=""), "", IFERROR(VLOOKUP(C153, '03_FOOD_DATABASE'!$B$5:$L$60, 7, FALSE)*D153/100, IFERROR(VLOOKUP(C153, '04_RECIPE_DATABASE'!$B$5:$M$20, 9, FALSE)*D153, 0)))</f>
        <v/>
      </c>
      <c r="H153" s="107">
        <f>IF(OR(C153="", D153=""), "", IFERROR(VLOOKUP(C153, '03_FOOD_DATABASE'!$B$5:$L$60, 8, FALSE)*D153/100, IFERROR(VLOOKUP(C153, '04_RECIPE_DATABASE'!$B$5:$M$20, 10, FALSE)*D153, 0)))</f>
        <v/>
      </c>
      <c r="I153" s="107">
        <f>IF(OR(C153="", D153=""), "", IFERROR(VLOOKUP(C153, '03_FOOD_DATABASE'!$B$5:$L$60, 9, FALSE)*D153/100, IFERROR(VLOOKUP(C153, '04_RECIPE_DATABASE'!$B$5:$M$20, 11, FALSE)*D153, 0)))</f>
        <v/>
      </c>
      <c r="J153" s="106">
        <f>IF(OR(C153="", D153=""), "", IFERROR(VLOOKUP(C153, '03_FOOD_DATABASE'!$B$5:$L$60, 11, FALSE)*D153/100, IFERROR(VLOOKUP(C153, '04_RECIPE_DATABASE'!$B$5:$M$20, 12, FALSE)*D153, 0)))</f>
        <v/>
      </c>
      <c r="K153" s="7" t="n"/>
      <c r="L153" s="58" t="n"/>
      <c r="N153" s="108" t="n">
        <v>46462</v>
      </c>
      <c r="O153" s="109">
        <f>TEXT(N153, "dddd")</f>
        <v/>
      </c>
      <c r="P153" s="110">
        <f>IF(U153=0, "", SUMIFS($F$5:$F$1500, $A$5:$A$1500, N153))</f>
        <v/>
      </c>
      <c r="Q153" s="111">
        <f>IF(U153=0, "", SUMIFS($G$5:$G$1500, $A$5:$A$1500, N153))</f>
        <v/>
      </c>
      <c r="R153" s="111">
        <f>IF(U153=0, "", SUMIFS($H$5:$H$1500, $A$5:$A$1500, N153))</f>
        <v/>
      </c>
      <c r="S153" s="111">
        <f>IF(U153=0, "", SUMIFS($I$5:$I$1500, $A$5:$A$1500, N153))</f>
        <v/>
      </c>
      <c r="T153" s="110">
        <f>IF(U153=0, "", SUMIFS($J$5:$J$1500, $A$5:$A$1500, N153))</f>
        <v/>
      </c>
      <c r="U153" s="112">
        <f>COUNTIFS($A$5:$A$1500, N153)</f>
        <v/>
      </c>
      <c r="V153" s="113">
        <f>IF(U153=0, "CHƯA NHẬP", IF(U153&lt;3, "INCOMPLETE (Chưa đủ bữa)", "COMPLETE (Đầy đủ)"))</f>
        <v/>
      </c>
      <c r="W153" s="114">
        <f>IF(P153="", "", P153/'02_NUTRITION_SETUP'!$C$20)</f>
        <v/>
      </c>
      <c r="X153" s="114">
        <f>IF(Q153="", "", Q153/'02_NUTRITION_SETUP'!$C$21)</f>
        <v/>
      </c>
    </row>
    <row r="154" ht="22" customHeight="1">
      <c r="A154" s="57" t="n"/>
      <c r="B154" s="7" t="n"/>
      <c r="C154" s="58" t="n"/>
      <c r="D154" s="58" t="n"/>
      <c r="E154" s="7" t="n"/>
      <c r="F154" s="106">
        <f>IF(OR(C154="", D154=""), "", IFERROR(VLOOKUP(C154, '03_FOOD_DATABASE'!$B$5:$L$60, 6, FALSE)*D154/100, IFERROR(VLOOKUP(C154, '04_RECIPE_DATABASE'!$B$5:$M$20, 8, FALSE)*D154, 0)))</f>
        <v/>
      </c>
      <c r="G154" s="107">
        <f>IF(OR(C154="", D154=""), "", IFERROR(VLOOKUP(C154, '03_FOOD_DATABASE'!$B$5:$L$60, 7, FALSE)*D154/100, IFERROR(VLOOKUP(C154, '04_RECIPE_DATABASE'!$B$5:$M$20, 9, FALSE)*D154, 0)))</f>
        <v/>
      </c>
      <c r="H154" s="107">
        <f>IF(OR(C154="", D154=""), "", IFERROR(VLOOKUP(C154, '03_FOOD_DATABASE'!$B$5:$L$60, 8, FALSE)*D154/100, IFERROR(VLOOKUP(C154, '04_RECIPE_DATABASE'!$B$5:$M$20, 10, FALSE)*D154, 0)))</f>
        <v/>
      </c>
      <c r="I154" s="107">
        <f>IF(OR(C154="", D154=""), "", IFERROR(VLOOKUP(C154, '03_FOOD_DATABASE'!$B$5:$L$60, 9, FALSE)*D154/100, IFERROR(VLOOKUP(C154, '04_RECIPE_DATABASE'!$B$5:$M$20, 11, FALSE)*D154, 0)))</f>
        <v/>
      </c>
      <c r="J154" s="106">
        <f>IF(OR(C154="", D154=""), "", IFERROR(VLOOKUP(C154, '03_FOOD_DATABASE'!$B$5:$L$60, 11, FALSE)*D154/100, IFERROR(VLOOKUP(C154, '04_RECIPE_DATABASE'!$B$5:$M$20, 12, FALSE)*D154, 0)))</f>
        <v/>
      </c>
      <c r="K154" s="7" t="n"/>
      <c r="L154" s="58" t="n"/>
      <c r="N154" s="108" t="n">
        <v>46463</v>
      </c>
      <c r="O154" s="109">
        <f>TEXT(N154, "dddd")</f>
        <v/>
      </c>
      <c r="P154" s="110">
        <f>IF(U154=0, "", SUMIFS($F$5:$F$1500, $A$5:$A$1500, N154))</f>
        <v/>
      </c>
      <c r="Q154" s="111">
        <f>IF(U154=0, "", SUMIFS($G$5:$G$1500, $A$5:$A$1500, N154))</f>
        <v/>
      </c>
      <c r="R154" s="111">
        <f>IF(U154=0, "", SUMIFS($H$5:$H$1500, $A$5:$A$1500, N154))</f>
        <v/>
      </c>
      <c r="S154" s="111">
        <f>IF(U154=0, "", SUMIFS($I$5:$I$1500, $A$5:$A$1500, N154))</f>
        <v/>
      </c>
      <c r="T154" s="110">
        <f>IF(U154=0, "", SUMIFS($J$5:$J$1500, $A$5:$A$1500, N154))</f>
        <v/>
      </c>
      <c r="U154" s="112">
        <f>COUNTIFS($A$5:$A$1500, N154)</f>
        <v/>
      </c>
      <c r="V154" s="113">
        <f>IF(U154=0, "CHƯA NHẬP", IF(U154&lt;3, "INCOMPLETE (Chưa đủ bữa)", "COMPLETE (Đầy đủ)"))</f>
        <v/>
      </c>
      <c r="W154" s="114">
        <f>IF(P154="", "", P154/'02_NUTRITION_SETUP'!$C$20)</f>
        <v/>
      </c>
      <c r="X154" s="114">
        <f>IF(Q154="", "", Q154/'02_NUTRITION_SETUP'!$C$21)</f>
        <v/>
      </c>
    </row>
    <row r="155">
      <c r="A155" s="115" t="n"/>
      <c r="B155" s="115" t="n"/>
      <c r="C155" s="115" t="n"/>
      <c r="D155" s="115" t="n"/>
      <c r="E155" s="115" t="n"/>
      <c r="F155" s="116">
        <f>IF(OR(C155="", D155=""), "", IFERROR(VLOOKUP(C155, '03_FOOD_DATABASE'!$B$5:$L$60, 6, FALSE)*D155/100, IFERROR(VLOOKUP(C155, '04_RECIPE_DATABASE'!$B$5:$M$20, 8, FALSE)*D155, 0)))</f>
        <v/>
      </c>
      <c r="G155" s="117">
        <f>IF(OR(C155="", D155=""), "", IFERROR(VLOOKUP(C155, '03_FOOD_DATABASE'!$B$5:$L$60, 7, FALSE)*D155/100, IFERROR(VLOOKUP(C155, '04_RECIPE_DATABASE'!$B$5:$M$20, 9, FALSE)*D155, 0)))</f>
        <v/>
      </c>
      <c r="H155" s="117">
        <f>IF(OR(C155="", D155=""), "", IFERROR(VLOOKUP(C155, '03_FOOD_DATABASE'!$B$5:$L$60, 8, FALSE)*D155/100, IFERROR(VLOOKUP(C155, '04_RECIPE_DATABASE'!$B$5:$M$20, 10, FALSE)*D155, 0)))</f>
        <v/>
      </c>
      <c r="I155" s="117">
        <f>IF(OR(C155="", D155=""), "", IFERROR(VLOOKUP(C155, '03_FOOD_DATABASE'!$B$5:$L$60, 9, FALSE)*D155/100, IFERROR(VLOOKUP(C155, '04_RECIPE_DATABASE'!$B$5:$M$20, 11, FALSE)*D155, 0)))</f>
        <v/>
      </c>
      <c r="J155" s="116">
        <f>IF(OR(C155="", D155=""), "", IFERROR(VLOOKUP(C155, '03_FOOD_DATABASE'!$B$5:$L$60, 11, FALSE)*D155/100, IFERROR(VLOOKUP(C155, '04_RECIPE_DATABASE'!$B$5:$M$20, 12, FALSE)*D155, 0)))</f>
        <v/>
      </c>
      <c r="K155" s="115" t="n"/>
      <c r="L155" s="115" t="n"/>
      <c r="N155" s="108" t="n">
        <v>46464</v>
      </c>
      <c r="O155" s="109">
        <f>TEXT(N155, "dddd")</f>
        <v/>
      </c>
      <c r="P155" s="110">
        <f>IF(U155=0, "", SUMIFS($F$5:$F$1500, $A$5:$A$1500, N155))</f>
        <v/>
      </c>
      <c r="Q155" s="111">
        <f>IF(U155=0, "", SUMIFS($G$5:$G$1500, $A$5:$A$1500, N155))</f>
        <v/>
      </c>
      <c r="R155" s="111">
        <f>IF(U155=0, "", SUMIFS($H$5:$H$1500, $A$5:$A$1500, N155))</f>
        <v/>
      </c>
      <c r="S155" s="111">
        <f>IF(U155=0, "", SUMIFS($I$5:$I$1500, $A$5:$A$1500, N155))</f>
        <v/>
      </c>
      <c r="T155" s="110">
        <f>IF(U155=0, "", SUMIFS($J$5:$J$1500, $A$5:$A$1500, N155))</f>
        <v/>
      </c>
      <c r="U155" s="112">
        <f>COUNTIFS($A$5:$A$1500, N155)</f>
        <v/>
      </c>
      <c r="V155" s="113">
        <f>IF(U155=0, "CHƯA NHẬP", IF(U155&lt;3, "INCOMPLETE (Chưa đủ bữa)", "COMPLETE (Đầy đủ)"))</f>
        <v/>
      </c>
      <c r="W155" s="114">
        <f>IF(P155="", "", P155/'02_NUTRITION_SETUP'!$C$20)</f>
        <v/>
      </c>
      <c r="X155" s="114">
        <f>IF(Q155="", "", Q155/'02_NUTRITION_SETUP'!$C$21)</f>
        <v/>
      </c>
    </row>
    <row r="156">
      <c r="A156" s="115" t="n"/>
      <c r="B156" s="115" t="n"/>
      <c r="C156" s="115" t="n"/>
      <c r="D156" s="115" t="n"/>
      <c r="E156" s="115" t="n"/>
      <c r="F156" s="116">
        <f>IF(OR(C156="", D156=""), "", IFERROR(VLOOKUP(C156, '03_FOOD_DATABASE'!$B$5:$L$60, 6, FALSE)*D156/100, IFERROR(VLOOKUP(C156, '04_RECIPE_DATABASE'!$B$5:$M$20, 8, FALSE)*D156, 0)))</f>
        <v/>
      </c>
      <c r="G156" s="117">
        <f>IF(OR(C156="", D156=""), "", IFERROR(VLOOKUP(C156, '03_FOOD_DATABASE'!$B$5:$L$60, 7, FALSE)*D156/100, IFERROR(VLOOKUP(C156, '04_RECIPE_DATABASE'!$B$5:$M$20, 9, FALSE)*D156, 0)))</f>
        <v/>
      </c>
      <c r="H156" s="117">
        <f>IF(OR(C156="", D156=""), "", IFERROR(VLOOKUP(C156, '03_FOOD_DATABASE'!$B$5:$L$60, 8, FALSE)*D156/100, IFERROR(VLOOKUP(C156, '04_RECIPE_DATABASE'!$B$5:$M$20, 10, FALSE)*D156, 0)))</f>
        <v/>
      </c>
      <c r="I156" s="117">
        <f>IF(OR(C156="", D156=""), "", IFERROR(VLOOKUP(C156, '03_FOOD_DATABASE'!$B$5:$L$60, 9, FALSE)*D156/100, IFERROR(VLOOKUP(C156, '04_RECIPE_DATABASE'!$B$5:$M$20, 11, FALSE)*D156, 0)))</f>
        <v/>
      </c>
      <c r="J156" s="116">
        <f>IF(OR(C156="", D156=""), "", IFERROR(VLOOKUP(C156, '03_FOOD_DATABASE'!$B$5:$L$60, 11, FALSE)*D156/100, IFERROR(VLOOKUP(C156, '04_RECIPE_DATABASE'!$B$5:$M$20, 12, FALSE)*D156, 0)))</f>
        <v/>
      </c>
      <c r="K156" s="115" t="n"/>
      <c r="L156" s="115" t="n"/>
      <c r="N156" s="108" t="n">
        <v>46465</v>
      </c>
      <c r="O156" s="109">
        <f>TEXT(N156, "dddd")</f>
        <v/>
      </c>
      <c r="P156" s="110">
        <f>IF(U156=0, "", SUMIFS($F$5:$F$1500, $A$5:$A$1500, N156))</f>
        <v/>
      </c>
      <c r="Q156" s="111">
        <f>IF(U156=0, "", SUMIFS($G$5:$G$1500, $A$5:$A$1500, N156))</f>
        <v/>
      </c>
      <c r="R156" s="111">
        <f>IF(U156=0, "", SUMIFS($H$5:$H$1500, $A$5:$A$1500, N156))</f>
        <v/>
      </c>
      <c r="S156" s="111">
        <f>IF(U156=0, "", SUMIFS($I$5:$I$1500, $A$5:$A$1500, N156))</f>
        <v/>
      </c>
      <c r="T156" s="110">
        <f>IF(U156=0, "", SUMIFS($J$5:$J$1500, $A$5:$A$1500, N156))</f>
        <v/>
      </c>
      <c r="U156" s="112">
        <f>COUNTIFS($A$5:$A$1500, N156)</f>
        <v/>
      </c>
      <c r="V156" s="113">
        <f>IF(U156=0, "CHƯA NHẬP", IF(U156&lt;3, "INCOMPLETE (Chưa đủ bữa)", "COMPLETE (Đầy đủ)"))</f>
        <v/>
      </c>
      <c r="W156" s="114">
        <f>IF(P156="", "", P156/'02_NUTRITION_SETUP'!$C$20)</f>
        <v/>
      </c>
      <c r="X156" s="114">
        <f>IF(Q156="", "", Q156/'02_NUTRITION_SETUP'!$C$21)</f>
        <v/>
      </c>
    </row>
    <row r="157">
      <c r="A157" s="115" t="n"/>
      <c r="B157" s="115" t="n"/>
      <c r="C157" s="115" t="n"/>
      <c r="D157" s="115" t="n"/>
      <c r="E157" s="115" t="n"/>
      <c r="F157" s="116">
        <f>IF(OR(C157="", D157=""), "", IFERROR(VLOOKUP(C157, '03_FOOD_DATABASE'!$B$5:$L$60, 6, FALSE)*D157/100, IFERROR(VLOOKUP(C157, '04_RECIPE_DATABASE'!$B$5:$M$20, 8, FALSE)*D157, 0)))</f>
        <v/>
      </c>
      <c r="G157" s="117">
        <f>IF(OR(C157="", D157=""), "", IFERROR(VLOOKUP(C157, '03_FOOD_DATABASE'!$B$5:$L$60, 7, FALSE)*D157/100, IFERROR(VLOOKUP(C157, '04_RECIPE_DATABASE'!$B$5:$M$20, 9, FALSE)*D157, 0)))</f>
        <v/>
      </c>
      <c r="H157" s="117">
        <f>IF(OR(C157="", D157=""), "", IFERROR(VLOOKUP(C157, '03_FOOD_DATABASE'!$B$5:$L$60, 8, FALSE)*D157/100, IFERROR(VLOOKUP(C157, '04_RECIPE_DATABASE'!$B$5:$M$20, 10, FALSE)*D157, 0)))</f>
        <v/>
      </c>
      <c r="I157" s="117">
        <f>IF(OR(C157="", D157=""), "", IFERROR(VLOOKUP(C157, '03_FOOD_DATABASE'!$B$5:$L$60, 9, FALSE)*D157/100, IFERROR(VLOOKUP(C157, '04_RECIPE_DATABASE'!$B$5:$M$20, 11, FALSE)*D157, 0)))</f>
        <v/>
      </c>
      <c r="J157" s="116">
        <f>IF(OR(C157="", D157=""), "", IFERROR(VLOOKUP(C157, '03_FOOD_DATABASE'!$B$5:$L$60, 11, FALSE)*D157/100, IFERROR(VLOOKUP(C157, '04_RECIPE_DATABASE'!$B$5:$M$20, 12, FALSE)*D157, 0)))</f>
        <v/>
      </c>
      <c r="K157" s="115" t="n"/>
      <c r="L157" s="115" t="n"/>
      <c r="N157" s="108" t="n">
        <v>46466</v>
      </c>
      <c r="O157" s="109">
        <f>TEXT(N157, "dddd")</f>
        <v/>
      </c>
      <c r="P157" s="110">
        <f>IF(U157=0, "", SUMIFS($F$5:$F$1500, $A$5:$A$1500, N157))</f>
        <v/>
      </c>
      <c r="Q157" s="111">
        <f>IF(U157=0, "", SUMIFS($G$5:$G$1500, $A$5:$A$1500, N157))</f>
        <v/>
      </c>
      <c r="R157" s="111">
        <f>IF(U157=0, "", SUMIFS($H$5:$H$1500, $A$5:$A$1500, N157))</f>
        <v/>
      </c>
      <c r="S157" s="111">
        <f>IF(U157=0, "", SUMIFS($I$5:$I$1500, $A$5:$A$1500, N157))</f>
        <v/>
      </c>
      <c r="T157" s="110">
        <f>IF(U157=0, "", SUMIFS($J$5:$J$1500, $A$5:$A$1500, N157))</f>
        <v/>
      </c>
      <c r="U157" s="112">
        <f>COUNTIFS($A$5:$A$1500, N157)</f>
        <v/>
      </c>
      <c r="V157" s="113">
        <f>IF(U157=0, "CHƯA NHẬP", IF(U157&lt;3, "INCOMPLETE (Chưa đủ bữa)", "COMPLETE (Đầy đủ)"))</f>
        <v/>
      </c>
      <c r="W157" s="114">
        <f>IF(P157="", "", P157/'02_NUTRITION_SETUP'!$C$20)</f>
        <v/>
      </c>
      <c r="X157" s="114">
        <f>IF(Q157="", "", Q157/'02_NUTRITION_SETUP'!$C$21)</f>
        <v/>
      </c>
    </row>
    <row r="158">
      <c r="A158" s="115" t="n"/>
      <c r="B158" s="115" t="n"/>
      <c r="C158" s="115" t="n"/>
      <c r="D158" s="115" t="n"/>
      <c r="E158" s="115" t="n"/>
      <c r="F158" s="116">
        <f>IF(OR(C158="", D158=""), "", IFERROR(VLOOKUP(C158, '03_FOOD_DATABASE'!$B$5:$L$60, 6, FALSE)*D158/100, IFERROR(VLOOKUP(C158, '04_RECIPE_DATABASE'!$B$5:$M$20, 8, FALSE)*D158, 0)))</f>
        <v/>
      </c>
      <c r="G158" s="117">
        <f>IF(OR(C158="", D158=""), "", IFERROR(VLOOKUP(C158, '03_FOOD_DATABASE'!$B$5:$L$60, 7, FALSE)*D158/100, IFERROR(VLOOKUP(C158, '04_RECIPE_DATABASE'!$B$5:$M$20, 9, FALSE)*D158, 0)))</f>
        <v/>
      </c>
      <c r="H158" s="117">
        <f>IF(OR(C158="", D158=""), "", IFERROR(VLOOKUP(C158, '03_FOOD_DATABASE'!$B$5:$L$60, 8, FALSE)*D158/100, IFERROR(VLOOKUP(C158, '04_RECIPE_DATABASE'!$B$5:$M$20, 10, FALSE)*D158, 0)))</f>
        <v/>
      </c>
      <c r="I158" s="117">
        <f>IF(OR(C158="", D158=""), "", IFERROR(VLOOKUP(C158, '03_FOOD_DATABASE'!$B$5:$L$60, 9, FALSE)*D158/100, IFERROR(VLOOKUP(C158, '04_RECIPE_DATABASE'!$B$5:$M$20, 11, FALSE)*D158, 0)))</f>
        <v/>
      </c>
      <c r="J158" s="116">
        <f>IF(OR(C158="", D158=""), "", IFERROR(VLOOKUP(C158, '03_FOOD_DATABASE'!$B$5:$L$60, 11, FALSE)*D158/100, IFERROR(VLOOKUP(C158, '04_RECIPE_DATABASE'!$B$5:$M$20, 12, FALSE)*D158, 0)))</f>
        <v/>
      </c>
      <c r="K158" s="115" t="n"/>
      <c r="L158" s="115" t="n"/>
      <c r="N158" s="108" t="n">
        <v>46467</v>
      </c>
      <c r="O158" s="109">
        <f>TEXT(N158, "dddd")</f>
        <v/>
      </c>
      <c r="P158" s="110">
        <f>IF(U158=0, "", SUMIFS($F$5:$F$1500, $A$5:$A$1500, N158))</f>
        <v/>
      </c>
      <c r="Q158" s="111">
        <f>IF(U158=0, "", SUMIFS($G$5:$G$1500, $A$5:$A$1500, N158))</f>
        <v/>
      </c>
      <c r="R158" s="111">
        <f>IF(U158=0, "", SUMIFS($H$5:$H$1500, $A$5:$A$1500, N158))</f>
        <v/>
      </c>
      <c r="S158" s="111">
        <f>IF(U158=0, "", SUMIFS($I$5:$I$1500, $A$5:$A$1500, N158))</f>
        <v/>
      </c>
      <c r="T158" s="110">
        <f>IF(U158=0, "", SUMIFS($J$5:$J$1500, $A$5:$A$1500, N158))</f>
        <v/>
      </c>
      <c r="U158" s="112">
        <f>COUNTIFS($A$5:$A$1500, N158)</f>
        <v/>
      </c>
      <c r="V158" s="113">
        <f>IF(U158=0, "CHƯA NHẬP", IF(U158&lt;3, "INCOMPLETE (Chưa đủ bữa)", "COMPLETE (Đầy đủ)"))</f>
        <v/>
      </c>
      <c r="W158" s="114">
        <f>IF(P158="", "", P158/'02_NUTRITION_SETUP'!$C$20)</f>
        <v/>
      </c>
      <c r="X158" s="114">
        <f>IF(Q158="", "", Q158/'02_NUTRITION_SETUP'!$C$21)</f>
        <v/>
      </c>
    </row>
    <row r="159">
      <c r="A159" s="115" t="n"/>
      <c r="B159" s="115" t="n"/>
      <c r="C159" s="115" t="n"/>
      <c r="D159" s="115" t="n"/>
      <c r="E159" s="115" t="n"/>
      <c r="F159" s="116">
        <f>IF(OR(C159="", D159=""), "", IFERROR(VLOOKUP(C159, '03_FOOD_DATABASE'!$B$5:$L$60, 6, FALSE)*D159/100, IFERROR(VLOOKUP(C159, '04_RECIPE_DATABASE'!$B$5:$M$20, 8, FALSE)*D159, 0)))</f>
        <v/>
      </c>
      <c r="G159" s="117">
        <f>IF(OR(C159="", D159=""), "", IFERROR(VLOOKUP(C159, '03_FOOD_DATABASE'!$B$5:$L$60, 7, FALSE)*D159/100, IFERROR(VLOOKUP(C159, '04_RECIPE_DATABASE'!$B$5:$M$20, 9, FALSE)*D159, 0)))</f>
        <v/>
      </c>
      <c r="H159" s="117">
        <f>IF(OR(C159="", D159=""), "", IFERROR(VLOOKUP(C159, '03_FOOD_DATABASE'!$B$5:$L$60, 8, FALSE)*D159/100, IFERROR(VLOOKUP(C159, '04_RECIPE_DATABASE'!$B$5:$M$20, 10, FALSE)*D159, 0)))</f>
        <v/>
      </c>
      <c r="I159" s="117">
        <f>IF(OR(C159="", D159=""), "", IFERROR(VLOOKUP(C159, '03_FOOD_DATABASE'!$B$5:$L$60, 9, FALSE)*D159/100, IFERROR(VLOOKUP(C159, '04_RECIPE_DATABASE'!$B$5:$M$20, 11, FALSE)*D159, 0)))</f>
        <v/>
      </c>
      <c r="J159" s="116">
        <f>IF(OR(C159="", D159=""), "", IFERROR(VLOOKUP(C159, '03_FOOD_DATABASE'!$B$5:$L$60, 11, FALSE)*D159/100, IFERROR(VLOOKUP(C159, '04_RECIPE_DATABASE'!$B$5:$M$20, 12, FALSE)*D159, 0)))</f>
        <v/>
      </c>
      <c r="K159" s="115" t="n"/>
      <c r="L159" s="115" t="n"/>
      <c r="N159" s="108" t="n">
        <v>46468</v>
      </c>
      <c r="O159" s="109">
        <f>TEXT(N159, "dddd")</f>
        <v/>
      </c>
      <c r="P159" s="110">
        <f>IF(U159=0, "", SUMIFS($F$5:$F$1500, $A$5:$A$1500, N159))</f>
        <v/>
      </c>
      <c r="Q159" s="111">
        <f>IF(U159=0, "", SUMIFS($G$5:$G$1500, $A$5:$A$1500, N159))</f>
        <v/>
      </c>
      <c r="R159" s="111">
        <f>IF(U159=0, "", SUMIFS($H$5:$H$1500, $A$5:$A$1500, N159))</f>
        <v/>
      </c>
      <c r="S159" s="111">
        <f>IF(U159=0, "", SUMIFS($I$5:$I$1500, $A$5:$A$1500, N159))</f>
        <v/>
      </c>
      <c r="T159" s="110">
        <f>IF(U159=0, "", SUMIFS($J$5:$J$1500, $A$5:$A$1500, N159))</f>
        <v/>
      </c>
      <c r="U159" s="112">
        <f>COUNTIFS($A$5:$A$1500, N159)</f>
        <v/>
      </c>
      <c r="V159" s="113">
        <f>IF(U159=0, "CHƯA NHẬP", IF(U159&lt;3, "INCOMPLETE (Chưa đủ bữa)", "COMPLETE (Đầy đủ)"))</f>
        <v/>
      </c>
      <c r="W159" s="114">
        <f>IF(P159="", "", P159/'02_NUTRITION_SETUP'!$C$20)</f>
        <v/>
      </c>
      <c r="X159" s="114">
        <f>IF(Q159="", "", Q159/'02_NUTRITION_SETUP'!$C$21)</f>
        <v/>
      </c>
    </row>
    <row r="160">
      <c r="A160" s="115" t="n"/>
      <c r="B160" s="115" t="n"/>
      <c r="C160" s="115" t="n"/>
      <c r="D160" s="115" t="n"/>
      <c r="E160" s="115" t="n"/>
      <c r="F160" s="116">
        <f>IF(OR(C160="", D160=""), "", IFERROR(VLOOKUP(C160, '03_FOOD_DATABASE'!$B$5:$L$60, 6, FALSE)*D160/100, IFERROR(VLOOKUP(C160, '04_RECIPE_DATABASE'!$B$5:$M$20, 8, FALSE)*D160, 0)))</f>
        <v/>
      </c>
      <c r="G160" s="117">
        <f>IF(OR(C160="", D160=""), "", IFERROR(VLOOKUP(C160, '03_FOOD_DATABASE'!$B$5:$L$60, 7, FALSE)*D160/100, IFERROR(VLOOKUP(C160, '04_RECIPE_DATABASE'!$B$5:$M$20, 9, FALSE)*D160, 0)))</f>
        <v/>
      </c>
      <c r="H160" s="117">
        <f>IF(OR(C160="", D160=""), "", IFERROR(VLOOKUP(C160, '03_FOOD_DATABASE'!$B$5:$L$60, 8, FALSE)*D160/100, IFERROR(VLOOKUP(C160, '04_RECIPE_DATABASE'!$B$5:$M$20, 10, FALSE)*D160, 0)))</f>
        <v/>
      </c>
      <c r="I160" s="117">
        <f>IF(OR(C160="", D160=""), "", IFERROR(VLOOKUP(C160, '03_FOOD_DATABASE'!$B$5:$L$60, 9, FALSE)*D160/100, IFERROR(VLOOKUP(C160, '04_RECIPE_DATABASE'!$B$5:$M$20, 11, FALSE)*D160, 0)))</f>
        <v/>
      </c>
      <c r="J160" s="116">
        <f>IF(OR(C160="", D160=""), "", IFERROR(VLOOKUP(C160, '03_FOOD_DATABASE'!$B$5:$L$60, 11, FALSE)*D160/100, IFERROR(VLOOKUP(C160, '04_RECIPE_DATABASE'!$B$5:$M$20, 12, FALSE)*D160, 0)))</f>
        <v/>
      </c>
      <c r="K160" s="115" t="n"/>
      <c r="L160" s="115" t="n"/>
      <c r="N160" s="108" t="n">
        <v>46469</v>
      </c>
      <c r="O160" s="109">
        <f>TEXT(N160, "dddd")</f>
        <v/>
      </c>
      <c r="P160" s="110">
        <f>IF(U160=0, "", SUMIFS($F$5:$F$1500, $A$5:$A$1500, N160))</f>
        <v/>
      </c>
      <c r="Q160" s="111">
        <f>IF(U160=0, "", SUMIFS($G$5:$G$1500, $A$5:$A$1500, N160))</f>
        <v/>
      </c>
      <c r="R160" s="111">
        <f>IF(U160=0, "", SUMIFS($H$5:$H$1500, $A$5:$A$1500, N160))</f>
        <v/>
      </c>
      <c r="S160" s="111">
        <f>IF(U160=0, "", SUMIFS($I$5:$I$1500, $A$5:$A$1500, N160))</f>
        <v/>
      </c>
      <c r="T160" s="110">
        <f>IF(U160=0, "", SUMIFS($J$5:$J$1500, $A$5:$A$1500, N160))</f>
        <v/>
      </c>
      <c r="U160" s="112">
        <f>COUNTIFS($A$5:$A$1500, N160)</f>
        <v/>
      </c>
      <c r="V160" s="113">
        <f>IF(U160=0, "CHƯA NHẬP", IF(U160&lt;3, "INCOMPLETE (Chưa đủ bữa)", "COMPLETE (Đầy đủ)"))</f>
        <v/>
      </c>
      <c r="W160" s="114">
        <f>IF(P160="", "", P160/'02_NUTRITION_SETUP'!$C$20)</f>
        <v/>
      </c>
      <c r="X160" s="114">
        <f>IF(Q160="", "", Q160/'02_NUTRITION_SETUP'!$C$21)</f>
        <v/>
      </c>
    </row>
    <row r="161">
      <c r="A161" s="115" t="n"/>
      <c r="B161" s="115" t="n"/>
      <c r="C161" s="115" t="n"/>
      <c r="D161" s="115" t="n"/>
      <c r="E161" s="115" t="n"/>
      <c r="F161" s="116">
        <f>IF(OR(C161="", D161=""), "", IFERROR(VLOOKUP(C161, '03_FOOD_DATABASE'!$B$5:$L$60, 6, FALSE)*D161/100, IFERROR(VLOOKUP(C161, '04_RECIPE_DATABASE'!$B$5:$M$20, 8, FALSE)*D161, 0)))</f>
        <v/>
      </c>
      <c r="G161" s="117">
        <f>IF(OR(C161="", D161=""), "", IFERROR(VLOOKUP(C161, '03_FOOD_DATABASE'!$B$5:$L$60, 7, FALSE)*D161/100, IFERROR(VLOOKUP(C161, '04_RECIPE_DATABASE'!$B$5:$M$20, 9, FALSE)*D161, 0)))</f>
        <v/>
      </c>
      <c r="H161" s="117">
        <f>IF(OR(C161="", D161=""), "", IFERROR(VLOOKUP(C161, '03_FOOD_DATABASE'!$B$5:$L$60, 8, FALSE)*D161/100, IFERROR(VLOOKUP(C161, '04_RECIPE_DATABASE'!$B$5:$M$20, 10, FALSE)*D161, 0)))</f>
        <v/>
      </c>
      <c r="I161" s="117">
        <f>IF(OR(C161="", D161=""), "", IFERROR(VLOOKUP(C161, '03_FOOD_DATABASE'!$B$5:$L$60, 9, FALSE)*D161/100, IFERROR(VLOOKUP(C161, '04_RECIPE_DATABASE'!$B$5:$M$20, 11, FALSE)*D161, 0)))</f>
        <v/>
      </c>
      <c r="J161" s="116">
        <f>IF(OR(C161="", D161=""), "", IFERROR(VLOOKUP(C161, '03_FOOD_DATABASE'!$B$5:$L$60, 11, FALSE)*D161/100, IFERROR(VLOOKUP(C161, '04_RECIPE_DATABASE'!$B$5:$M$20, 12, FALSE)*D161, 0)))</f>
        <v/>
      </c>
      <c r="K161" s="115" t="n"/>
      <c r="L161" s="115" t="n"/>
      <c r="N161" s="108" t="n">
        <v>46470</v>
      </c>
      <c r="O161" s="109">
        <f>TEXT(N161, "dddd")</f>
        <v/>
      </c>
      <c r="P161" s="110">
        <f>IF(U161=0, "", SUMIFS($F$5:$F$1500, $A$5:$A$1500, N161))</f>
        <v/>
      </c>
      <c r="Q161" s="111">
        <f>IF(U161=0, "", SUMIFS($G$5:$G$1500, $A$5:$A$1500, N161))</f>
        <v/>
      </c>
      <c r="R161" s="111">
        <f>IF(U161=0, "", SUMIFS($H$5:$H$1500, $A$5:$A$1500, N161))</f>
        <v/>
      </c>
      <c r="S161" s="111">
        <f>IF(U161=0, "", SUMIFS($I$5:$I$1500, $A$5:$A$1500, N161))</f>
        <v/>
      </c>
      <c r="T161" s="110">
        <f>IF(U161=0, "", SUMIFS($J$5:$J$1500, $A$5:$A$1500, N161))</f>
        <v/>
      </c>
      <c r="U161" s="112">
        <f>COUNTIFS($A$5:$A$1500, N161)</f>
        <v/>
      </c>
      <c r="V161" s="113">
        <f>IF(U161=0, "CHƯA NHẬP", IF(U161&lt;3, "INCOMPLETE (Chưa đủ bữa)", "COMPLETE (Đầy đủ)"))</f>
        <v/>
      </c>
      <c r="W161" s="114">
        <f>IF(P161="", "", P161/'02_NUTRITION_SETUP'!$C$20)</f>
        <v/>
      </c>
      <c r="X161" s="114">
        <f>IF(Q161="", "", Q161/'02_NUTRITION_SETUP'!$C$21)</f>
        <v/>
      </c>
    </row>
    <row r="162">
      <c r="A162" s="115" t="n"/>
      <c r="B162" s="115" t="n"/>
      <c r="C162" s="115" t="n"/>
      <c r="D162" s="115" t="n"/>
      <c r="E162" s="115" t="n"/>
      <c r="F162" s="116">
        <f>IF(OR(C162="", D162=""), "", IFERROR(VLOOKUP(C162, '03_FOOD_DATABASE'!$B$5:$L$60, 6, FALSE)*D162/100, IFERROR(VLOOKUP(C162, '04_RECIPE_DATABASE'!$B$5:$M$20, 8, FALSE)*D162, 0)))</f>
        <v/>
      </c>
      <c r="G162" s="117">
        <f>IF(OR(C162="", D162=""), "", IFERROR(VLOOKUP(C162, '03_FOOD_DATABASE'!$B$5:$L$60, 7, FALSE)*D162/100, IFERROR(VLOOKUP(C162, '04_RECIPE_DATABASE'!$B$5:$M$20, 9, FALSE)*D162, 0)))</f>
        <v/>
      </c>
      <c r="H162" s="117">
        <f>IF(OR(C162="", D162=""), "", IFERROR(VLOOKUP(C162, '03_FOOD_DATABASE'!$B$5:$L$60, 8, FALSE)*D162/100, IFERROR(VLOOKUP(C162, '04_RECIPE_DATABASE'!$B$5:$M$20, 10, FALSE)*D162, 0)))</f>
        <v/>
      </c>
      <c r="I162" s="117">
        <f>IF(OR(C162="", D162=""), "", IFERROR(VLOOKUP(C162, '03_FOOD_DATABASE'!$B$5:$L$60, 9, FALSE)*D162/100, IFERROR(VLOOKUP(C162, '04_RECIPE_DATABASE'!$B$5:$M$20, 11, FALSE)*D162, 0)))</f>
        <v/>
      </c>
      <c r="J162" s="116">
        <f>IF(OR(C162="", D162=""), "", IFERROR(VLOOKUP(C162, '03_FOOD_DATABASE'!$B$5:$L$60, 11, FALSE)*D162/100, IFERROR(VLOOKUP(C162, '04_RECIPE_DATABASE'!$B$5:$M$20, 12, FALSE)*D162, 0)))</f>
        <v/>
      </c>
      <c r="K162" s="115" t="n"/>
      <c r="L162" s="115" t="n"/>
      <c r="N162" s="108" t="n">
        <v>46471</v>
      </c>
      <c r="O162" s="109">
        <f>TEXT(N162, "dddd")</f>
        <v/>
      </c>
      <c r="P162" s="110">
        <f>IF(U162=0, "", SUMIFS($F$5:$F$1500, $A$5:$A$1500, N162))</f>
        <v/>
      </c>
      <c r="Q162" s="111">
        <f>IF(U162=0, "", SUMIFS($G$5:$G$1500, $A$5:$A$1500, N162))</f>
        <v/>
      </c>
      <c r="R162" s="111">
        <f>IF(U162=0, "", SUMIFS($H$5:$H$1500, $A$5:$A$1500, N162))</f>
        <v/>
      </c>
      <c r="S162" s="111">
        <f>IF(U162=0, "", SUMIFS($I$5:$I$1500, $A$5:$A$1500, N162))</f>
        <v/>
      </c>
      <c r="T162" s="110">
        <f>IF(U162=0, "", SUMIFS($J$5:$J$1500, $A$5:$A$1500, N162))</f>
        <v/>
      </c>
      <c r="U162" s="112">
        <f>COUNTIFS($A$5:$A$1500, N162)</f>
        <v/>
      </c>
      <c r="V162" s="113">
        <f>IF(U162=0, "CHƯA NHẬP", IF(U162&lt;3, "INCOMPLETE (Chưa đủ bữa)", "COMPLETE (Đầy đủ)"))</f>
        <v/>
      </c>
      <c r="W162" s="114">
        <f>IF(P162="", "", P162/'02_NUTRITION_SETUP'!$C$20)</f>
        <v/>
      </c>
      <c r="X162" s="114">
        <f>IF(Q162="", "", Q162/'02_NUTRITION_SETUP'!$C$21)</f>
        <v/>
      </c>
    </row>
    <row r="163">
      <c r="A163" s="115" t="n"/>
      <c r="B163" s="115" t="n"/>
      <c r="C163" s="115" t="n"/>
      <c r="D163" s="115" t="n"/>
      <c r="E163" s="115" t="n"/>
      <c r="F163" s="116">
        <f>IF(OR(C163="", D163=""), "", IFERROR(VLOOKUP(C163, '03_FOOD_DATABASE'!$B$5:$L$60, 6, FALSE)*D163/100, IFERROR(VLOOKUP(C163, '04_RECIPE_DATABASE'!$B$5:$M$20, 8, FALSE)*D163, 0)))</f>
        <v/>
      </c>
      <c r="G163" s="117">
        <f>IF(OR(C163="", D163=""), "", IFERROR(VLOOKUP(C163, '03_FOOD_DATABASE'!$B$5:$L$60, 7, FALSE)*D163/100, IFERROR(VLOOKUP(C163, '04_RECIPE_DATABASE'!$B$5:$M$20, 9, FALSE)*D163, 0)))</f>
        <v/>
      </c>
      <c r="H163" s="117">
        <f>IF(OR(C163="", D163=""), "", IFERROR(VLOOKUP(C163, '03_FOOD_DATABASE'!$B$5:$L$60, 8, FALSE)*D163/100, IFERROR(VLOOKUP(C163, '04_RECIPE_DATABASE'!$B$5:$M$20, 10, FALSE)*D163, 0)))</f>
        <v/>
      </c>
      <c r="I163" s="117">
        <f>IF(OR(C163="", D163=""), "", IFERROR(VLOOKUP(C163, '03_FOOD_DATABASE'!$B$5:$L$60, 9, FALSE)*D163/100, IFERROR(VLOOKUP(C163, '04_RECIPE_DATABASE'!$B$5:$M$20, 11, FALSE)*D163, 0)))</f>
        <v/>
      </c>
      <c r="J163" s="116">
        <f>IF(OR(C163="", D163=""), "", IFERROR(VLOOKUP(C163, '03_FOOD_DATABASE'!$B$5:$L$60, 11, FALSE)*D163/100, IFERROR(VLOOKUP(C163, '04_RECIPE_DATABASE'!$B$5:$M$20, 12, FALSE)*D163, 0)))</f>
        <v/>
      </c>
      <c r="K163" s="115" t="n"/>
      <c r="L163" s="115" t="n"/>
      <c r="N163" s="108" t="n">
        <v>46472</v>
      </c>
      <c r="O163" s="109">
        <f>TEXT(N163, "dddd")</f>
        <v/>
      </c>
      <c r="P163" s="110">
        <f>IF(U163=0, "", SUMIFS($F$5:$F$1500, $A$5:$A$1500, N163))</f>
        <v/>
      </c>
      <c r="Q163" s="111">
        <f>IF(U163=0, "", SUMIFS($G$5:$G$1500, $A$5:$A$1500, N163))</f>
        <v/>
      </c>
      <c r="R163" s="111">
        <f>IF(U163=0, "", SUMIFS($H$5:$H$1500, $A$5:$A$1500, N163))</f>
        <v/>
      </c>
      <c r="S163" s="111">
        <f>IF(U163=0, "", SUMIFS($I$5:$I$1500, $A$5:$A$1500, N163))</f>
        <v/>
      </c>
      <c r="T163" s="110">
        <f>IF(U163=0, "", SUMIFS($J$5:$J$1500, $A$5:$A$1500, N163))</f>
        <v/>
      </c>
      <c r="U163" s="112">
        <f>COUNTIFS($A$5:$A$1500, N163)</f>
        <v/>
      </c>
      <c r="V163" s="113">
        <f>IF(U163=0, "CHƯA NHẬP", IF(U163&lt;3, "INCOMPLETE (Chưa đủ bữa)", "COMPLETE (Đầy đủ)"))</f>
        <v/>
      </c>
      <c r="W163" s="114">
        <f>IF(P163="", "", P163/'02_NUTRITION_SETUP'!$C$20)</f>
        <v/>
      </c>
      <c r="X163" s="114">
        <f>IF(Q163="", "", Q163/'02_NUTRITION_SETUP'!$C$21)</f>
        <v/>
      </c>
    </row>
    <row r="164">
      <c r="A164" s="115" t="n"/>
      <c r="B164" s="115" t="n"/>
      <c r="C164" s="115" t="n"/>
      <c r="D164" s="115" t="n"/>
      <c r="E164" s="115" t="n"/>
      <c r="F164" s="116">
        <f>IF(OR(C164="", D164=""), "", IFERROR(VLOOKUP(C164, '03_FOOD_DATABASE'!$B$5:$L$60, 6, FALSE)*D164/100, IFERROR(VLOOKUP(C164, '04_RECIPE_DATABASE'!$B$5:$M$20, 8, FALSE)*D164, 0)))</f>
        <v/>
      </c>
      <c r="G164" s="117">
        <f>IF(OR(C164="", D164=""), "", IFERROR(VLOOKUP(C164, '03_FOOD_DATABASE'!$B$5:$L$60, 7, FALSE)*D164/100, IFERROR(VLOOKUP(C164, '04_RECIPE_DATABASE'!$B$5:$M$20, 9, FALSE)*D164, 0)))</f>
        <v/>
      </c>
      <c r="H164" s="117">
        <f>IF(OR(C164="", D164=""), "", IFERROR(VLOOKUP(C164, '03_FOOD_DATABASE'!$B$5:$L$60, 8, FALSE)*D164/100, IFERROR(VLOOKUP(C164, '04_RECIPE_DATABASE'!$B$5:$M$20, 10, FALSE)*D164, 0)))</f>
        <v/>
      </c>
      <c r="I164" s="117">
        <f>IF(OR(C164="", D164=""), "", IFERROR(VLOOKUP(C164, '03_FOOD_DATABASE'!$B$5:$L$60, 9, FALSE)*D164/100, IFERROR(VLOOKUP(C164, '04_RECIPE_DATABASE'!$B$5:$M$20, 11, FALSE)*D164, 0)))</f>
        <v/>
      </c>
      <c r="J164" s="116">
        <f>IF(OR(C164="", D164=""), "", IFERROR(VLOOKUP(C164, '03_FOOD_DATABASE'!$B$5:$L$60, 11, FALSE)*D164/100, IFERROR(VLOOKUP(C164, '04_RECIPE_DATABASE'!$B$5:$M$20, 12, FALSE)*D164, 0)))</f>
        <v/>
      </c>
      <c r="K164" s="115" t="n"/>
      <c r="L164" s="115" t="n"/>
      <c r="N164" s="108" t="n">
        <v>46473</v>
      </c>
      <c r="O164" s="109">
        <f>TEXT(N164, "dddd")</f>
        <v/>
      </c>
      <c r="P164" s="110">
        <f>IF(U164=0, "", SUMIFS($F$5:$F$1500, $A$5:$A$1500, N164))</f>
        <v/>
      </c>
      <c r="Q164" s="111">
        <f>IF(U164=0, "", SUMIFS($G$5:$G$1500, $A$5:$A$1500, N164))</f>
        <v/>
      </c>
      <c r="R164" s="111">
        <f>IF(U164=0, "", SUMIFS($H$5:$H$1500, $A$5:$A$1500, N164))</f>
        <v/>
      </c>
      <c r="S164" s="111">
        <f>IF(U164=0, "", SUMIFS($I$5:$I$1500, $A$5:$A$1500, N164))</f>
        <v/>
      </c>
      <c r="T164" s="110">
        <f>IF(U164=0, "", SUMIFS($J$5:$J$1500, $A$5:$A$1500, N164))</f>
        <v/>
      </c>
      <c r="U164" s="112">
        <f>COUNTIFS($A$5:$A$1500, N164)</f>
        <v/>
      </c>
      <c r="V164" s="113">
        <f>IF(U164=0, "CHƯA NHẬP", IF(U164&lt;3, "INCOMPLETE (Chưa đủ bữa)", "COMPLETE (Đầy đủ)"))</f>
        <v/>
      </c>
      <c r="W164" s="114">
        <f>IF(P164="", "", P164/'02_NUTRITION_SETUP'!$C$20)</f>
        <v/>
      </c>
      <c r="X164" s="114">
        <f>IF(Q164="", "", Q164/'02_NUTRITION_SETUP'!$C$21)</f>
        <v/>
      </c>
    </row>
    <row r="165">
      <c r="A165" s="115" t="n"/>
      <c r="B165" s="115" t="n"/>
      <c r="C165" s="115" t="n"/>
      <c r="D165" s="115" t="n"/>
      <c r="E165" s="115" t="n"/>
      <c r="F165" s="116">
        <f>IF(OR(C165="", D165=""), "", IFERROR(VLOOKUP(C165, '03_FOOD_DATABASE'!$B$5:$L$60, 6, FALSE)*D165/100, IFERROR(VLOOKUP(C165, '04_RECIPE_DATABASE'!$B$5:$M$20, 8, FALSE)*D165, 0)))</f>
        <v/>
      </c>
      <c r="G165" s="117">
        <f>IF(OR(C165="", D165=""), "", IFERROR(VLOOKUP(C165, '03_FOOD_DATABASE'!$B$5:$L$60, 7, FALSE)*D165/100, IFERROR(VLOOKUP(C165, '04_RECIPE_DATABASE'!$B$5:$M$20, 9, FALSE)*D165, 0)))</f>
        <v/>
      </c>
      <c r="H165" s="117">
        <f>IF(OR(C165="", D165=""), "", IFERROR(VLOOKUP(C165, '03_FOOD_DATABASE'!$B$5:$L$60, 8, FALSE)*D165/100, IFERROR(VLOOKUP(C165, '04_RECIPE_DATABASE'!$B$5:$M$20, 10, FALSE)*D165, 0)))</f>
        <v/>
      </c>
      <c r="I165" s="117">
        <f>IF(OR(C165="", D165=""), "", IFERROR(VLOOKUP(C165, '03_FOOD_DATABASE'!$B$5:$L$60, 9, FALSE)*D165/100, IFERROR(VLOOKUP(C165, '04_RECIPE_DATABASE'!$B$5:$M$20, 11, FALSE)*D165, 0)))</f>
        <v/>
      </c>
      <c r="J165" s="116">
        <f>IF(OR(C165="", D165=""), "", IFERROR(VLOOKUP(C165, '03_FOOD_DATABASE'!$B$5:$L$60, 11, FALSE)*D165/100, IFERROR(VLOOKUP(C165, '04_RECIPE_DATABASE'!$B$5:$M$20, 12, FALSE)*D165, 0)))</f>
        <v/>
      </c>
      <c r="K165" s="115" t="n"/>
      <c r="L165" s="115" t="n"/>
      <c r="N165" s="108" t="n">
        <v>46474</v>
      </c>
      <c r="O165" s="109">
        <f>TEXT(N165, "dddd")</f>
        <v/>
      </c>
      <c r="P165" s="110">
        <f>IF(U165=0, "", SUMIFS($F$5:$F$1500, $A$5:$A$1500, N165))</f>
        <v/>
      </c>
      <c r="Q165" s="111">
        <f>IF(U165=0, "", SUMIFS($G$5:$G$1500, $A$5:$A$1500, N165))</f>
        <v/>
      </c>
      <c r="R165" s="111">
        <f>IF(U165=0, "", SUMIFS($H$5:$H$1500, $A$5:$A$1500, N165))</f>
        <v/>
      </c>
      <c r="S165" s="111">
        <f>IF(U165=0, "", SUMIFS($I$5:$I$1500, $A$5:$A$1500, N165))</f>
        <v/>
      </c>
      <c r="T165" s="110">
        <f>IF(U165=0, "", SUMIFS($J$5:$J$1500, $A$5:$A$1500, N165))</f>
        <v/>
      </c>
      <c r="U165" s="112">
        <f>COUNTIFS($A$5:$A$1500, N165)</f>
        <v/>
      </c>
      <c r="V165" s="113">
        <f>IF(U165=0, "CHƯA NHẬP", IF(U165&lt;3, "INCOMPLETE (Chưa đủ bữa)", "COMPLETE (Đầy đủ)"))</f>
        <v/>
      </c>
      <c r="W165" s="114">
        <f>IF(P165="", "", P165/'02_NUTRITION_SETUP'!$C$20)</f>
        <v/>
      </c>
      <c r="X165" s="114">
        <f>IF(Q165="", "", Q165/'02_NUTRITION_SETUP'!$C$21)</f>
        <v/>
      </c>
    </row>
    <row r="166">
      <c r="A166" s="115" t="n"/>
      <c r="B166" s="115" t="n"/>
      <c r="C166" s="115" t="n"/>
      <c r="D166" s="115" t="n"/>
      <c r="E166" s="115" t="n"/>
      <c r="F166" s="116">
        <f>IF(OR(C166="", D166=""), "", IFERROR(VLOOKUP(C166, '03_FOOD_DATABASE'!$B$5:$L$60, 6, FALSE)*D166/100, IFERROR(VLOOKUP(C166, '04_RECIPE_DATABASE'!$B$5:$M$20, 8, FALSE)*D166, 0)))</f>
        <v/>
      </c>
      <c r="G166" s="117">
        <f>IF(OR(C166="", D166=""), "", IFERROR(VLOOKUP(C166, '03_FOOD_DATABASE'!$B$5:$L$60, 7, FALSE)*D166/100, IFERROR(VLOOKUP(C166, '04_RECIPE_DATABASE'!$B$5:$M$20, 9, FALSE)*D166, 0)))</f>
        <v/>
      </c>
      <c r="H166" s="117">
        <f>IF(OR(C166="", D166=""), "", IFERROR(VLOOKUP(C166, '03_FOOD_DATABASE'!$B$5:$L$60, 8, FALSE)*D166/100, IFERROR(VLOOKUP(C166, '04_RECIPE_DATABASE'!$B$5:$M$20, 10, FALSE)*D166, 0)))</f>
        <v/>
      </c>
      <c r="I166" s="117">
        <f>IF(OR(C166="", D166=""), "", IFERROR(VLOOKUP(C166, '03_FOOD_DATABASE'!$B$5:$L$60, 9, FALSE)*D166/100, IFERROR(VLOOKUP(C166, '04_RECIPE_DATABASE'!$B$5:$M$20, 11, FALSE)*D166, 0)))</f>
        <v/>
      </c>
      <c r="J166" s="116">
        <f>IF(OR(C166="", D166=""), "", IFERROR(VLOOKUP(C166, '03_FOOD_DATABASE'!$B$5:$L$60, 11, FALSE)*D166/100, IFERROR(VLOOKUP(C166, '04_RECIPE_DATABASE'!$B$5:$M$20, 12, FALSE)*D166, 0)))</f>
        <v/>
      </c>
      <c r="K166" s="115" t="n"/>
      <c r="L166" s="115" t="n"/>
      <c r="N166" s="108" t="n">
        <v>46475</v>
      </c>
      <c r="O166" s="109">
        <f>TEXT(N166, "dddd")</f>
        <v/>
      </c>
      <c r="P166" s="110">
        <f>IF(U166=0, "", SUMIFS($F$5:$F$1500, $A$5:$A$1500, N166))</f>
        <v/>
      </c>
      <c r="Q166" s="111">
        <f>IF(U166=0, "", SUMIFS($G$5:$G$1500, $A$5:$A$1500, N166))</f>
        <v/>
      </c>
      <c r="R166" s="111">
        <f>IF(U166=0, "", SUMIFS($H$5:$H$1500, $A$5:$A$1500, N166))</f>
        <v/>
      </c>
      <c r="S166" s="111">
        <f>IF(U166=0, "", SUMIFS($I$5:$I$1500, $A$5:$A$1500, N166))</f>
        <v/>
      </c>
      <c r="T166" s="110">
        <f>IF(U166=0, "", SUMIFS($J$5:$J$1500, $A$5:$A$1500, N166))</f>
        <v/>
      </c>
      <c r="U166" s="112">
        <f>COUNTIFS($A$5:$A$1500, N166)</f>
        <v/>
      </c>
      <c r="V166" s="113">
        <f>IF(U166=0, "CHƯA NHẬP", IF(U166&lt;3, "INCOMPLETE (Chưa đủ bữa)", "COMPLETE (Đầy đủ)"))</f>
        <v/>
      </c>
      <c r="W166" s="114">
        <f>IF(P166="", "", P166/'02_NUTRITION_SETUP'!$C$20)</f>
        <v/>
      </c>
      <c r="X166" s="114">
        <f>IF(Q166="", "", Q166/'02_NUTRITION_SETUP'!$C$21)</f>
        <v/>
      </c>
    </row>
    <row r="167">
      <c r="A167" s="115" t="n"/>
      <c r="B167" s="115" t="n"/>
      <c r="C167" s="115" t="n"/>
      <c r="D167" s="115" t="n"/>
      <c r="E167" s="115" t="n"/>
      <c r="F167" s="116">
        <f>IF(OR(C167="", D167=""), "", IFERROR(VLOOKUP(C167, '03_FOOD_DATABASE'!$B$5:$L$60, 6, FALSE)*D167/100, IFERROR(VLOOKUP(C167, '04_RECIPE_DATABASE'!$B$5:$M$20, 8, FALSE)*D167, 0)))</f>
        <v/>
      </c>
      <c r="G167" s="117">
        <f>IF(OR(C167="", D167=""), "", IFERROR(VLOOKUP(C167, '03_FOOD_DATABASE'!$B$5:$L$60, 7, FALSE)*D167/100, IFERROR(VLOOKUP(C167, '04_RECIPE_DATABASE'!$B$5:$M$20, 9, FALSE)*D167, 0)))</f>
        <v/>
      </c>
      <c r="H167" s="117">
        <f>IF(OR(C167="", D167=""), "", IFERROR(VLOOKUP(C167, '03_FOOD_DATABASE'!$B$5:$L$60, 8, FALSE)*D167/100, IFERROR(VLOOKUP(C167, '04_RECIPE_DATABASE'!$B$5:$M$20, 10, FALSE)*D167, 0)))</f>
        <v/>
      </c>
      <c r="I167" s="117">
        <f>IF(OR(C167="", D167=""), "", IFERROR(VLOOKUP(C167, '03_FOOD_DATABASE'!$B$5:$L$60, 9, FALSE)*D167/100, IFERROR(VLOOKUP(C167, '04_RECIPE_DATABASE'!$B$5:$M$20, 11, FALSE)*D167, 0)))</f>
        <v/>
      </c>
      <c r="J167" s="116">
        <f>IF(OR(C167="", D167=""), "", IFERROR(VLOOKUP(C167, '03_FOOD_DATABASE'!$B$5:$L$60, 11, FALSE)*D167/100, IFERROR(VLOOKUP(C167, '04_RECIPE_DATABASE'!$B$5:$M$20, 12, FALSE)*D167, 0)))</f>
        <v/>
      </c>
      <c r="K167" s="115" t="n"/>
      <c r="L167" s="115" t="n"/>
      <c r="N167" s="108" t="n">
        <v>46476</v>
      </c>
      <c r="O167" s="109">
        <f>TEXT(N167, "dddd")</f>
        <v/>
      </c>
      <c r="P167" s="110">
        <f>IF(U167=0, "", SUMIFS($F$5:$F$1500, $A$5:$A$1500, N167))</f>
        <v/>
      </c>
      <c r="Q167" s="111">
        <f>IF(U167=0, "", SUMIFS($G$5:$G$1500, $A$5:$A$1500, N167))</f>
        <v/>
      </c>
      <c r="R167" s="111">
        <f>IF(U167=0, "", SUMIFS($H$5:$H$1500, $A$5:$A$1500, N167))</f>
        <v/>
      </c>
      <c r="S167" s="111">
        <f>IF(U167=0, "", SUMIFS($I$5:$I$1500, $A$5:$A$1500, N167))</f>
        <v/>
      </c>
      <c r="T167" s="110">
        <f>IF(U167=0, "", SUMIFS($J$5:$J$1500, $A$5:$A$1500, N167))</f>
        <v/>
      </c>
      <c r="U167" s="112">
        <f>COUNTIFS($A$5:$A$1500, N167)</f>
        <v/>
      </c>
      <c r="V167" s="113">
        <f>IF(U167=0, "CHƯA NHẬP", IF(U167&lt;3, "INCOMPLETE (Chưa đủ bữa)", "COMPLETE (Đầy đủ)"))</f>
        <v/>
      </c>
      <c r="W167" s="114">
        <f>IF(P167="", "", P167/'02_NUTRITION_SETUP'!$C$20)</f>
        <v/>
      </c>
      <c r="X167" s="114">
        <f>IF(Q167="", "", Q167/'02_NUTRITION_SETUP'!$C$21)</f>
        <v/>
      </c>
    </row>
    <row r="168">
      <c r="A168" s="115" t="n"/>
      <c r="B168" s="115" t="n"/>
      <c r="C168" s="115" t="n"/>
      <c r="D168" s="115" t="n"/>
      <c r="E168" s="115" t="n"/>
      <c r="F168" s="116">
        <f>IF(OR(C168="", D168=""), "", IFERROR(VLOOKUP(C168, '03_FOOD_DATABASE'!$B$5:$L$60, 6, FALSE)*D168/100, IFERROR(VLOOKUP(C168, '04_RECIPE_DATABASE'!$B$5:$M$20, 8, FALSE)*D168, 0)))</f>
        <v/>
      </c>
      <c r="G168" s="117">
        <f>IF(OR(C168="", D168=""), "", IFERROR(VLOOKUP(C168, '03_FOOD_DATABASE'!$B$5:$L$60, 7, FALSE)*D168/100, IFERROR(VLOOKUP(C168, '04_RECIPE_DATABASE'!$B$5:$M$20, 9, FALSE)*D168, 0)))</f>
        <v/>
      </c>
      <c r="H168" s="117">
        <f>IF(OR(C168="", D168=""), "", IFERROR(VLOOKUP(C168, '03_FOOD_DATABASE'!$B$5:$L$60, 8, FALSE)*D168/100, IFERROR(VLOOKUP(C168, '04_RECIPE_DATABASE'!$B$5:$M$20, 10, FALSE)*D168, 0)))</f>
        <v/>
      </c>
      <c r="I168" s="117">
        <f>IF(OR(C168="", D168=""), "", IFERROR(VLOOKUP(C168, '03_FOOD_DATABASE'!$B$5:$L$60, 9, FALSE)*D168/100, IFERROR(VLOOKUP(C168, '04_RECIPE_DATABASE'!$B$5:$M$20, 11, FALSE)*D168, 0)))</f>
        <v/>
      </c>
      <c r="J168" s="116">
        <f>IF(OR(C168="", D168=""), "", IFERROR(VLOOKUP(C168, '03_FOOD_DATABASE'!$B$5:$L$60, 11, FALSE)*D168/100, IFERROR(VLOOKUP(C168, '04_RECIPE_DATABASE'!$B$5:$M$20, 12, FALSE)*D168, 0)))</f>
        <v/>
      </c>
      <c r="K168" s="115" t="n"/>
      <c r="L168" s="115" t="n"/>
      <c r="N168" s="108" t="n">
        <v>46477</v>
      </c>
      <c r="O168" s="109">
        <f>TEXT(N168, "dddd")</f>
        <v/>
      </c>
      <c r="P168" s="110">
        <f>IF(U168=0, "", SUMIFS($F$5:$F$1500, $A$5:$A$1500, N168))</f>
        <v/>
      </c>
      <c r="Q168" s="111">
        <f>IF(U168=0, "", SUMIFS($G$5:$G$1500, $A$5:$A$1500, N168))</f>
        <v/>
      </c>
      <c r="R168" s="111">
        <f>IF(U168=0, "", SUMIFS($H$5:$H$1500, $A$5:$A$1500, N168))</f>
        <v/>
      </c>
      <c r="S168" s="111">
        <f>IF(U168=0, "", SUMIFS($I$5:$I$1500, $A$5:$A$1500, N168))</f>
        <v/>
      </c>
      <c r="T168" s="110">
        <f>IF(U168=0, "", SUMIFS($J$5:$J$1500, $A$5:$A$1500, N168))</f>
        <v/>
      </c>
      <c r="U168" s="112">
        <f>COUNTIFS($A$5:$A$1500, N168)</f>
        <v/>
      </c>
      <c r="V168" s="113">
        <f>IF(U168=0, "CHƯA NHẬP", IF(U168&lt;3, "INCOMPLETE (Chưa đủ bữa)", "COMPLETE (Đầy đủ)"))</f>
        <v/>
      </c>
      <c r="W168" s="114">
        <f>IF(P168="", "", P168/'02_NUTRITION_SETUP'!$C$20)</f>
        <v/>
      </c>
      <c r="X168" s="114">
        <f>IF(Q168="", "", Q168/'02_NUTRITION_SETUP'!$C$21)</f>
        <v/>
      </c>
    </row>
    <row r="169">
      <c r="A169" s="115" t="n"/>
      <c r="B169" s="115" t="n"/>
      <c r="C169" s="115" t="n"/>
      <c r="D169" s="115" t="n"/>
      <c r="E169" s="115" t="n"/>
      <c r="F169" s="116">
        <f>IF(OR(C169="", D169=""), "", IFERROR(VLOOKUP(C169, '03_FOOD_DATABASE'!$B$5:$L$60, 6, FALSE)*D169/100, IFERROR(VLOOKUP(C169, '04_RECIPE_DATABASE'!$B$5:$M$20, 8, FALSE)*D169, 0)))</f>
        <v/>
      </c>
      <c r="G169" s="117">
        <f>IF(OR(C169="", D169=""), "", IFERROR(VLOOKUP(C169, '03_FOOD_DATABASE'!$B$5:$L$60, 7, FALSE)*D169/100, IFERROR(VLOOKUP(C169, '04_RECIPE_DATABASE'!$B$5:$M$20, 9, FALSE)*D169, 0)))</f>
        <v/>
      </c>
      <c r="H169" s="117">
        <f>IF(OR(C169="", D169=""), "", IFERROR(VLOOKUP(C169, '03_FOOD_DATABASE'!$B$5:$L$60, 8, FALSE)*D169/100, IFERROR(VLOOKUP(C169, '04_RECIPE_DATABASE'!$B$5:$M$20, 10, FALSE)*D169, 0)))</f>
        <v/>
      </c>
      <c r="I169" s="117">
        <f>IF(OR(C169="", D169=""), "", IFERROR(VLOOKUP(C169, '03_FOOD_DATABASE'!$B$5:$L$60, 9, FALSE)*D169/100, IFERROR(VLOOKUP(C169, '04_RECIPE_DATABASE'!$B$5:$M$20, 11, FALSE)*D169, 0)))</f>
        <v/>
      </c>
      <c r="J169" s="116">
        <f>IF(OR(C169="", D169=""), "", IFERROR(VLOOKUP(C169, '03_FOOD_DATABASE'!$B$5:$L$60, 11, FALSE)*D169/100, IFERROR(VLOOKUP(C169, '04_RECIPE_DATABASE'!$B$5:$M$20, 12, FALSE)*D169, 0)))</f>
        <v/>
      </c>
      <c r="K169" s="115" t="n"/>
      <c r="L169" s="115" t="n"/>
      <c r="N169" s="108" t="n">
        <v>46478</v>
      </c>
      <c r="O169" s="109">
        <f>TEXT(N169, "dddd")</f>
        <v/>
      </c>
      <c r="P169" s="110">
        <f>IF(U169=0, "", SUMIFS($F$5:$F$1500, $A$5:$A$1500, N169))</f>
        <v/>
      </c>
      <c r="Q169" s="111">
        <f>IF(U169=0, "", SUMIFS($G$5:$G$1500, $A$5:$A$1500, N169))</f>
        <v/>
      </c>
      <c r="R169" s="111">
        <f>IF(U169=0, "", SUMIFS($H$5:$H$1500, $A$5:$A$1500, N169))</f>
        <v/>
      </c>
      <c r="S169" s="111">
        <f>IF(U169=0, "", SUMIFS($I$5:$I$1500, $A$5:$A$1500, N169))</f>
        <v/>
      </c>
      <c r="T169" s="110">
        <f>IF(U169=0, "", SUMIFS($J$5:$J$1500, $A$5:$A$1500, N169))</f>
        <v/>
      </c>
      <c r="U169" s="112">
        <f>COUNTIFS($A$5:$A$1500, N169)</f>
        <v/>
      </c>
      <c r="V169" s="113">
        <f>IF(U169=0, "CHƯA NHẬP", IF(U169&lt;3, "INCOMPLETE (Chưa đủ bữa)", "COMPLETE (Đầy đủ)"))</f>
        <v/>
      </c>
      <c r="W169" s="114">
        <f>IF(P169="", "", P169/'02_NUTRITION_SETUP'!$C$20)</f>
        <v/>
      </c>
      <c r="X169" s="114">
        <f>IF(Q169="", "", Q169/'02_NUTRITION_SETUP'!$C$21)</f>
        <v/>
      </c>
    </row>
    <row r="170">
      <c r="A170" s="115" t="n"/>
      <c r="B170" s="115" t="n"/>
      <c r="C170" s="115" t="n"/>
      <c r="D170" s="115" t="n"/>
      <c r="E170" s="115" t="n"/>
      <c r="F170" s="116">
        <f>IF(OR(C170="", D170=""), "", IFERROR(VLOOKUP(C170, '03_FOOD_DATABASE'!$B$5:$L$60, 6, FALSE)*D170/100, IFERROR(VLOOKUP(C170, '04_RECIPE_DATABASE'!$B$5:$M$20, 8, FALSE)*D170, 0)))</f>
        <v/>
      </c>
      <c r="G170" s="117">
        <f>IF(OR(C170="", D170=""), "", IFERROR(VLOOKUP(C170, '03_FOOD_DATABASE'!$B$5:$L$60, 7, FALSE)*D170/100, IFERROR(VLOOKUP(C170, '04_RECIPE_DATABASE'!$B$5:$M$20, 9, FALSE)*D170, 0)))</f>
        <v/>
      </c>
      <c r="H170" s="117">
        <f>IF(OR(C170="", D170=""), "", IFERROR(VLOOKUP(C170, '03_FOOD_DATABASE'!$B$5:$L$60, 8, FALSE)*D170/100, IFERROR(VLOOKUP(C170, '04_RECIPE_DATABASE'!$B$5:$M$20, 10, FALSE)*D170, 0)))</f>
        <v/>
      </c>
      <c r="I170" s="117">
        <f>IF(OR(C170="", D170=""), "", IFERROR(VLOOKUP(C170, '03_FOOD_DATABASE'!$B$5:$L$60, 9, FALSE)*D170/100, IFERROR(VLOOKUP(C170, '04_RECIPE_DATABASE'!$B$5:$M$20, 11, FALSE)*D170, 0)))</f>
        <v/>
      </c>
      <c r="J170" s="116">
        <f>IF(OR(C170="", D170=""), "", IFERROR(VLOOKUP(C170, '03_FOOD_DATABASE'!$B$5:$L$60, 11, FALSE)*D170/100, IFERROR(VLOOKUP(C170, '04_RECIPE_DATABASE'!$B$5:$M$20, 12, FALSE)*D170, 0)))</f>
        <v/>
      </c>
      <c r="K170" s="115" t="n"/>
      <c r="L170" s="115" t="n"/>
      <c r="N170" s="108" t="n">
        <v>46479</v>
      </c>
      <c r="O170" s="109">
        <f>TEXT(N170, "dddd")</f>
        <v/>
      </c>
      <c r="P170" s="110">
        <f>IF(U170=0, "", SUMIFS($F$5:$F$1500, $A$5:$A$1500, N170))</f>
        <v/>
      </c>
      <c r="Q170" s="111">
        <f>IF(U170=0, "", SUMIFS($G$5:$G$1500, $A$5:$A$1500, N170))</f>
        <v/>
      </c>
      <c r="R170" s="111">
        <f>IF(U170=0, "", SUMIFS($H$5:$H$1500, $A$5:$A$1500, N170))</f>
        <v/>
      </c>
      <c r="S170" s="111">
        <f>IF(U170=0, "", SUMIFS($I$5:$I$1500, $A$5:$A$1500, N170))</f>
        <v/>
      </c>
      <c r="T170" s="110">
        <f>IF(U170=0, "", SUMIFS($J$5:$J$1500, $A$5:$A$1500, N170))</f>
        <v/>
      </c>
      <c r="U170" s="112">
        <f>COUNTIFS($A$5:$A$1500, N170)</f>
        <v/>
      </c>
      <c r="V170" s="113">
        <f>IF(U170=0, "CHƯA NHẬP", IF(U170&lt;3, "INCOMPLETE (Chưa đủ bữa)", "COMPLETE (Đầy đủ)"))</f>
        <v/>
      </c>
      <c r="W170" s="114">
        <f>IF(P170="", "", P170/'02_NUTRITION_SETUP'!$C$20)</f>
        <v/>
      </c>
      <c r="X170" s="114">
        <f>IF(Q170="", "", Q170/'02_NUTRITION_SETUP'!$C$21)</f>
        <v/>
      </c>
    </row>
    <row r="171">
      <c r="A171" s="115" t="n"/>
      <c r="B171" s="115" t="n"/>
      <c r="C171" s="115" t="n"/>
      <c r="D171" s="115" t="n"/>
      <c r="E171" s="115" t="n"/>
      <c r="F171" s="116">
        <f>IF(OR(C171="", D171=""), "", IFERROR(VLOOKUP(C171, '03_FOOD_DATABASE'!$B$5:$L$60, 6, FALSE)*D171/100, IFERROR(VLOOKUP(C171, '04_RECIPE_DATABASE'!$B$5:$M$20, 8, FALSE)*D171, 0)))</f>
        <v/>
      </c>
      <c r="G171" s="117">
        <f>IF(OR(C171="", D171=""), "", IFERROR(VLOOKUP(C171, '03_FOOD_DATABASE'!$B$5:$L$60, 7, FALSE)*D171/100, IFERROR(VLOOKUP(C171, '04_RECIPE_DATABASE'!$B$5:$M$20, 9, FALSE)*D171, 0)))</f>
        <v/>
      </c>
      <c r="H171" s="117">
        <f>IF(OR(C171="", D171=""), "", IFERROR(VLOOKUP(C171, '03_FOOD_DATABASE'!$B$5:$L$60, 8, FALSE)*D171/100, IFERROR(VLOOKUP(C171, '04_RECIPE_DATABASE'!$B$5:$M$20, 10, FALSE)*D171, 0)))</f>
        <v/>
      </c>
      <c r="I171" s="117">
        <f>IF(OR(C171="", D171=""), "", IFERROR(VLOOKUP(C171, '03_FOOD_DATABASE'!$B$5:$L$60, 9, FALSE)*D171/100, IFERROR(VLOOKUP(C171, '04_RECIPE_DATABASE'!$B$5:$M$20, 11, FALSE)*D171, 0)))</f>
        <v/>
      </c>
      <c r="J171" s="116">
        <f>IF(OR(C171="", D171=""), "", IFERROR(VLOOKUP(C171, '03_FOOD_DATABASE'!$B$5:$L$60, 11, FALSE)*D171/100, IFERROR(VLOOKUP(C171, '04_RECIPE_DATABASE'!$B$5:$M$20, 12, FALSE)*D171, 0)))</f>
        <v/>
      </c>
      <c r="K171" s="115" t="n"/>
      <c r="L171" s="115" t="n"/>
      <c r="N171" s="108" t="n">
        <v>46480</v>
      </c>
      <c r="O171" s="109">
        <f>TEXT(N171, "dddd")</f>
        <v/>
      </c>
      <c r="P171" s="110">
        <f>IF(U171=0, "", SUMIFS($F$5:$F$1500, $A$5:$A$1500, N171))</f>
        <v/>
      </c>
      <c r="Q171" s="111">
        <f>IF(U171=0, "", SUMIFS($G$5:$G$1500, $A$5:$A$1500, N171))</f>
        <v/>
      </c>
      <c r="R171" s="111">
        <f>IF(U171=0, "", SUMIFS($H$5:$H$1500, $A$5:$A$1500, N171))</f>
        <v/>
      </c>
      <c r="S171" s="111">
        <f>IF(U171=0, "", SUMIFS($I$5:$I$1500, $A$5:$A$1500, N171))</f>
        <v/>
      </c>
      <c r="T171" s="110">
        <f>IF(U171=0, "", SUMIFS($J$5:$J$1500, $A$5:$A$1500, N171))</f>
        <v/>
      </c>
      <c r="U171" s="112">
        <f>COUNTIFS($A$5:$A$1500, N171)</f>
        <v/>
      </c>
      <c r="V171" s="113">
        <f>IF(U171=0, "CHƯA NHẬP", IF(U171&lt;3, "INCOMPLETE (Chưa đủ bữa)", "COMPLETE (Đầy đủ)"))</f>
        <v/>
      </c>
      <c r="W171" s="114">
        <f>IF(P171="", "", P171/'02_NUTRITION_SETUP'!$C$20)</f>
        <v/>
      </c>
      <c r="X171" s="114">
        <f>IF(Q171="", "", Q171/'02_NUTRITION_SETUP'!$C$21)</f>
        <v/>
      </c>
    </row>
    <row r="172">
      <c r="A172" s="115" t="n"/>
      <c r="B172" s="115" t="n"/>
      <c r="C172" s="115" t="n"/>
      <c r="D172" s="115" t="n"/>
      <c r="E172" s="115" t="n"/>
      <c r="F172" s="116">
        <f>IF(OR(C172="", D172=""), "", IFERROR(VLOOKUP(C172, '03_FOOD_DATABASE'!$B$5:$L$60, 6, FALSE)*D172/100, IFERROR(VLOOKUP(C172, '04_RECIPE_DATABASE'!$B$5:$M$20, 8, FALSE)*D172, 0)))</f>
        <v/>
      </c>
      <c r="G172" s="117">
        <f>IF(OR(C172="", D172=""), "", IFERROR(VLOOKUP(C172, '03_FOOD_DATABASE'!$B$5:$L$60, 7, FALSE)*D172/100, IFERROR(VLOOKUP(C172, '04_RECIPE_DATABASE'!$B$5:$M$20, 9, FALSE)*D172, 0)))</f>
        <v/>
      </c>
      <c r="H172" s="117">
        <f>IF(OR(C172="", D172=""), "", IFERROR(VLOOKUP(C172, '03_FOOD_DATABASE'!$B$5:$L$60, 8, FALSE)*D172/100, IFERROR(VLOOKUP(C172, '04_RECIPE_DATABASE'!$B$5:$M$20, 10, FALSE)*D172, 0)))</f>
        <v/>
      </c>
      <c r="I172" s="117">
        <f>IF(OR(C172="", D172=""), "", IFERROR(VLOOKUP(C172, '03_FOOD_DATABASE'!$B$5:$L$60, 9, FALSE)*D172/100, IFERROR(VLOOKUP(C172, '04_RECIPE_DATABASE'!$B$5:$M$20, 11, FALSE)*D172, 0)))</f>
        <v/>
      </c>
      <c r="J172" s="116">
        <f>IF(OR(C172="", D172=""), "", IFERROR(VLOOKUP(C172, '03_FOOD_DATABASE'!$B$5:$L$60, 11, FALSE)*D172/100, IFERROR(VLOOKUP(C172, '04_RECIPE_DATABASE'!$B$5:$M$20, 12, FALSE)*D172, 0)))</f>
        <v/>
      </c>
      <c r="K172" s="115" t="n"/>
      <c r="L172" s="115" t="n"/>
      <c r="N172" s="108" t="n">
        <v>46481</v>
      </c>
      <c r="O172" s="109">
        <f>TEXT(N172, "dddd")</f>
        <v/>
      </c>
      <c r="P172" s="110">
        <f>IF(U172=0, "", SUMIFS($F$5:$F$1500, $A$5:$A$1500, N172))</f>
        <v/>
      </c>
      <c r="Q172" s="111">
        <f>IF(U172=0, "", SUMIFS($G$5:$G$1500, $A$5:$A$1500, N172))</f>
        <v/>
      </c>
      <c r="R172" s="111">
        <f>IF(U172=0, "", SUMIFS($H$5:$H$1500, $A$5:$A$1500, N172))</f>
        <v/>
      </c>
      <c r="S172" s="111">
        <f>IF(U172=0, "", SUMIFS($I$5:$I$1500, $A$5:$A$1500, N172))</f>
        <v/>
      </c>
      <c r="T172" s="110">
        <f>IF(U172=0, "", SUMIFS($J$5:$J$1500, $A$5:$A$1500, N172))</f>
        <v/>
      </c>
      <c r="U172" s="112">
        <f>COUNTIFS($A$5:$A$1500, N172)</f>
        <v/>
      </c>
      <c r="V172" s="113">
        <f>IF(U172=0, "CHƯA NHẬP", IF(U172&lt;3, "INCOMPLETE (Chưa đủ bữa)", "COMPLETE (Đầy đủ)"))</f>
        <v/>
      </c>
      <c r="W172" s="114">
        <f>IF(P172="", "", P172/'02_NUTRITION_SETUP'!$C$20)</f>
        <v/>
      </c>
      <c r="X172" s="114">
        <f>IF(Q172="", "", Q172/'02_NUTRITION_SETUP'!$C$21)</f>
        <v/>
      </c>
    </row>
    <row r="173">
      <c r="A173" s="115" t="n"/>
      <c r="B173" s="115" t="n"/>
      <c r="C173" s="115" t="n"/>
      <c r="D173" s="115" t="n"/>
      <c r="E173" s="115" t="n"/>
      <c r="F173" s="116">
        <f>IF(OR(C173="", D173=""), "", IFERROR(VLOOKUP(C173, '03_FOOD_DATABASE'!$B$5:$L$60, 6, FALSE)*D173/100, IFERROR(VLOOKUP(C173, '04_RECIPE_DATABASE'!$B$5:$M$20, 8, FALSE)*D173, 0)))</f>
        <v/>
      </c>
      <c r="G173" s="117">
        <f>IF(OR(C173="", D173=""), "", IFERROR(VLOOKUP(C173, '03_FOOD_DATABASE'!$B$5:$L$60, 7, FALSE)*D173/100, IFERROR(VLOOKUP(C173, '04_RECIPE_DATABASE'!$B$5:$M$20, 9, FALSE)*D173, 0)))</f>
        <v/>
      </c>
      <c r="H173" s="117">
        <f>IF(OR(C173="", D173=""), "", IFERROR(VLOOKUP(C173, '03_FOOD_DATABASE'!$B$5:$L$60, 8, FALSE)*D173/100, IFERROR(VLOOKUP(C173, '04_RECIPE_DATABASE'!$B$5:$M$20, 10, FALSE)*D173, 0)))</f>
        <v/>
      </c>
      <c r="I173" s="117">
        <f>IF(OR(C173="", D173=""), "", IFERROR(VLOOKUP(C173, '03_FOOD_DATABASE'!$B$5:$L$60, 9, FALSE)*D173/100, IFERROR(VLOOKUP(C173, '04_RECIPE_DATABASE'!$B$5:$M$20, 11, FALSE)*D173, 0)))</f>
        <v/>
      </c>
      <c r="J173" s="116">
        <f>IF(OR(C173="", D173=""), "", IFERROR(VLOOKUP(C173, '03_FOOD_DATABASE'!$B$5:$L$60, 11, FALSE)*D173/100, IFERROR(VLOOKUP(C173, '04_RECIPE_DATABASE'!$B$5:$M$20, 12, FALSE)*D173, 0)))</f>
        <v/>
      </c>
      <c r="K173" s="115" t="n"/>
      <c r="L173" s="115" t="n"/>
    </row>
    <row r="174">
      <c r="A174" s="115" t="n"/>
      <c r="B174" s="115" t="n"/>
      <c r="C174" s="115" t="n"/>
      <c r="D174" s="115" t="n"/>
      <c r="E174" s="115" t="n"/>
      <c r="F174" s="116">
        <f>IF(OR(C174="", D174=""), "", IFERROR(VLOOKUP(C174, '03_FOOD_DATABASE'!$B$5:$L$60, 6, FALSE)*D174/100, IFERROR(VLOOKUP(C174, '04_RECIPE_DATABASE'!$B$5:$M$20, 8, FALSE)*D174, 0)))</f>
        <v/>
      </c>
      <c r="G174" s="117">
        <f>IF(OR(C174="", D174=""), "", IFERROR(VLOOKUP(C174, '03_FOOD_DATABASE'!$B$5:$L$60, 7, FALSE)*D174/100, IFERROR(VLOOKUP(C174, '04_RECIPE_DATABASE'!$B$5:$M$20, 9, FALSE)*D174, 0)))</f>
        <v/>
      </c>
      <c r="H174" s="117">
        <f>IF(OR(C174="", D174=""), "", IFERROR(VLOOKUP(C174, '03_FOOD_DATABASE'!$B$5:$L$60, 8, FALSE)*D174/100, IFERROR(VLOOKUP(C174, '04_RECIPE_DATABASE'!$B$5:$M$20, 10, FALSE)*D174, 0)))</f>
        <v/>
      </c>
      <c r="I174" s="117">
        <f>IF(OR(C174="", D174=""), "", IFERROR(VLOOKUP(C174, '03_FOOD_DATABASE'!$B$5:$L$60, 9, FALSE)*D174/100, IFERROR(VLOOKUP(C174, '04_RECIPE_DATABASE'!$B$5:$M$20, 11, FALSE)*D174, 0)))</f>
        <v/>
      </c>
      <c r="J174" s="116">
        <f>IF(OR(C174="", D174=""), "", IFERROR(VLOOKUP(C174, '03_FOOD_DATABASE'!$B$5:$L$60, 11, FALSE)*D174/100, IFERROR(VLOOKUP(C174, '04_RECIPE_DATABASE'!$B$5:$M$20, 12, FALSE)*D174, 0)))</f>
        <v/>
      </c>
      <c r="K174" s="115" t="n"/>
      <c r="L174" s="115" t="n"/>
    </row>
    <row r="175">
      <c r="A175" s="115" t="n"/>
      <c r="B175" s="115" t="n"/>
      <c r="C175" s="115" t="n"/>
      <c r="D175" s="115" t="n"/>
      <c r="E175" s="115" t="n"/>
      <c r="F175" s="116">
        <f>IF(OR(C175="", D175=""), "", IFERROR(VLOOKUP(C175, '03_FOOD_DATABASE'!$B$5:$L$60, 6, FALSE)*D175/100, IFERROR(VLOOKUP(C175, '04_RECIPE_DATABASE'!$B$5:$M$20, 8, FALSE)*D175, 0)))</f>
        <v/>
      </c>
      <c r="G175" s="117">
        <f>IF(OR(C175="", D175=""), "", IFERROR(VLOOKUP(C175, '03_FOOD_DATABASE'!$B$5:$L$60, 7, FALSE)*D175/100, IFERROR(VLOOKUP(C175, '04_RECIPE_DATABASE'!$B$5:$M$20, 9, FALSE)*D175, 0)))</f>
        <v/>
      </c>
      <c r="H175" s="117">
        <f>IF(OR(C175="", D175=""), "", IFERROR(VLOOKUP(C175, '03_FOOD_DATABASE'!$B$5:$L$60, 8, FALSE)*D175/100, IFERROR(VLOOKUP(C175, '04_RECIPE_DATABASE'!$B$5:$M$20, 10, FALSE)*D175, 0)))</f>
        <v/>
      </c>
      <c r="I175" s="117">
        <f>IF(OR(C175="", D175=""), "", IFERROR(VLOOKUP(C175, '03_FOOD_DATABASE'!$B$5:$L$60, 9, FALSE)*D175/100, IFERROR(VLOOKUP(C175, '04_RECIPE_DATABASE'!$B$5:$M$20, 11, FALSE)*D175, 0)))</f>
        <v/>
      </c>
      <c r="J175" s="116">
        <f>IF(OR(C175="", D175=""), "", IFERROR(VLOOKUP(C175, '03_FOOD_DATABASE'!$B$5:$L$60, 11, FALSE)*D175/100, IFERROR(VLOOKUP(C175, '04_RECIPE_DATABASE'!$B$5:$M$20, 12, FALSE)*D175, 0)))</f>
        <v/>
      </c>
      <c r="K175" s="115" t="n"/>
      <c r="L175" s="115" t="n"/>
    </row>
    <row r="176">
      <c r="A176" s="115" t="n"/>
      <c r="B176" s="115" t="n"/>
      <c r="C176" s="115" t="n"/>
      <c r="D176" s="115" t="n"/>
      <c r="E176" s="115" t="n"/>
      <c r="F176" s="116">
        <f>IF(OR(C176="", D176=""), "", IFERROR(VLOOKUP(C176, '03_FOOD_DATABASE'!$B$5:$L$60, 6, FALSE)*D176/100, IFERROR(VLOOKUP(C176, '04_RECIPE_DATABASE'!$B$5:$M$20, 8, FALSE)*D176, 0)))</f>
        <v/>
      </c>
      <c r="G176" s="117">
        <f>IF(OR(C176="", D176=""), "", IFERROR(VLOOKUP(C176, '03_FOOD_DATABASE'!$B$5:$L$60, 7, FALSE)*D176/100, IFERROR(VLOOKUP(C176, '04_RECIPE_DATABASE'!$B$5:$M$20, 9, FALSE)*D176, 0)))</f>
        <v/>
      </c>
      <c r="H176" s="117">
        <f>IF(OR(C176="", D176=""), "", IFERROR(VLOOKUP(C176, '03_FOOD_DATABASE'!$B$5:$L$60, 8, FALSE)*D176/100, IFERROR(VLOOKUP(C176, '04_RECIPE_DATABASE'!$B$5:$M$20, 10, FALSE)*D176, 0)))</f>
        <v/>
      </c>
      <c r="I176" s="117">
        <f>IF(OR(C176="", D176=""), "", IFERROR(VLOOKUP(C176, '03_FOOD_DATABASE'!$B$5:$L$60, 9, FALSE)*D176/100, IFERROR(VLOOKUP(C176, '04_RECIPE_DATABASE'!$B$5:$M$20, 11, FALSE)*D176, 0)))</f>
        <v/>
      </c>
      <c r="J176" s="116">
        <f>IF(OR(C176="", D176=""), "", IFERROR(VLOOKUP(C176, '03_FOOD_DATABASE'!$B$5:$L$60, 11, FALSE)*D176/100, IFERROR(VLOOKUP(C176, '04_RECIPE_DATABASE'!$B$5:$M$20, 12, FALSE)*D176, 0)))</f>
        <v/>
      </c>
      <c r="K176" s="115" t="n"/>
      <c r="L176" s="115" t="n"/>
    </row>
    <row r="177">
      <c r="A177" s="115" t="n"/>
      <c r="B177" s="115" t="n"/>
      <c r="C177" s="115" t="n"/>
      <c r="D177" s="115" t="n"/>
      <c r="E177" s="115" t="n"/>
      <c r="F177" s="116">
        <f>IF(OR(C177="", D177=""), "", IFERROR(VLOOKUP(C177, '03_FOOD_DATABASE'!$B$5:$L$60, 6, FALSE)*D177/100, IFERROR(VLOOKUP(C177, '04_RECIPE_DATABASE'!$B$5:$M$20, 8, FALSE)*D177, 0)))</f>
        <v/>
      </c>
      <c r="G177" s="117">
        <f>IF(OR(C177="", D177=""), "", IFERROR(VLOOKUP(C177, '03_FOOD_DATABASE'!$B$5:$L$60, 7, FALSE)*D177/100, IFERROR(VLOOKUP(C177, '04_RECIPE_DATABASE'!$B$5:$M$20, 9, FALSE)*D177, 0)))</f>
        <v/>
      </c>
      <c r="H177" s="117">
        <f>IF(OR(C177="", D177=""), "", IFERROR(VLOOKUP(C177, '03_FOOD_DATABASE'!$B$5:$L$60, 8, FALSE)*D177/100, IFERROR(VLOOKUP(C177, '04_RECIPE_DATABASE'!$B$5:$M$20, 10, FALSE)*D177, 0)))</f>
        <v/>
      </c>
      <c r="I177" s="117">
        <f>IF(OR(C177="", D177=""), "", IFERROR(VLOOKUP(C177, '03_FOOD_DATABASE'!$B$5:$L$60, 9, FALSE)*D177/100, IFERROR(VLOOKUP(C177, '04_RECIPE_DATABASE'!$B$5:$M$20, 11, FALSE)*D177, 0)))</f>
        <v/>
      </c>
      <c r="J177" s="116">
        <f>IF(OR(C177="", D177=""), "", IFERROR(VLOOKUP(C177, '03_FOOD_DATABASE'!$B$5:$L$60, 11, FALSE)*D177/100, IFERROR(VLOOKUP(C177, '04_RECIPE_DATABASE'!$B$5:$M$20, 12, FALSE)*D177, 0)))</f>
        <v/>
      </c>
      <c r="K177" s="115" t="n"/>
      <c r="L177" s="115" t="n"/>
    </row>
    <row r="178">
      <c r="A178" s="115" t="n"/>
      <c r="B178" s="115" t="n"/>
      <c r="C178" s="115" t="n"/>
      <c r="D178" s="115" t="n"/>
      <c r="E178" s="115" t="n"/>
      <c r="F178" s="116">
        <f>IF(OR(C178="", D178=""), "", IFERROR(VLOOKUP(C178, '03_FOOD_DATABASE'!$B$5:$L$60, 6, FALSE)*D178/100, IFERROR(VLOOKUP(C178, '04_RECIPE_DATABASE'!$B$5:$M$20, 8, FALSE)*D178, 0)))</f>
        <v/>
      </c>
      <c r="G178" s="117">
        <f>IF(OR(C178="", D178=""), "", IFERROR(VLOOKUP(C178, '03_FOOD_DATABASE'!$B$5:$L$60, 7, FALSE)*D178/100, IFERROR(VLOOKUP(C178, '04_RECIPE_DATABASE'!$B$5:$M$20, 9, FALSE)*D178, 0)))</f>
        <v/>
      </c>
      <c r="H178" s="117">
        <f>IF(OR(C178="", D178=""), "", IFERROR(VLOOKUP(C178, '03_FOOD_DATABASE'!$B$5:$L$60, 8, FALSE)*D178/100, IFERROR(VLOOKUP(C178, '04_RECIPE_DATABASE'!$B$5:$M$20, 10, FALSE)*D178, 0)))</f>
        <v/>
      </c>
      <c r="I178" s="117">
        <f>IF(OR(C178="", D178=""), "", IFERROR(VLOOKUP(C178, '03_FOOD_DATABASE'!$B$5:$L$60, 9, FALSE)*D178/100, IFERROR(VLOOKUP(C178, '04_RECIPE_DATABASE'!$B$5:$M$20, 11, FALSE)*D178, 0)))</f>
        <v/>
      </c>
      <c r="J178" s="116">
        <f>IF(OR(C178="", D178=""), "", IFERROR(VLOOKUP(C178, '03_FOOD_DATABASE'!$B$5:$L$60, 11, FALSE)*D178/100, IFERROR(VLOOKUP(C178, '04_RECIPE_DATABASE'!$B$5:$M$20, 12, FALSE)*D178, 0)))</f>
        <v/>
      </c>
      <c r="K178" s="115" t="n"/>
      <c r="L178" s="115" t="n"/>
    </row>
    <row r="179">
      <c r="A179" s="115" t="n"/>
      <c r="B179" s="115" t="n"/>
      <c r="C179" s="115" t="n"/>
      <c r="D179" s="115" t="n"/>
      <c r="E179" s="115" t="n"/>
      <c r="F179" s="116">
        <f>IF(OR(C179="", D179=""), "", IFERROR(VLOOKUP(C179, '03_FOOD_DATABASE'!$B$5:$L$60, 6, FALSE)*D179/100, IFERROR(VLOOKUP(C179, '04_RECIPE_DATABASE'!$B$5:$M$20, 8, FALSE)*D179, 0)))</f>
        <v/>
      </c>
      <c r="G179" s="117">
        <f>IF(OR(C179="", D179=""), "", IFERROR(VLOOKUP(C179, '03_FOOD_DATABASE'!$B$5:$L$60, 7, FALSE)*D179/100, IFERROR(VLOOKUP(C179, '04_RECIPE_DATABASE'!$B$5:$M$20, 9, FALSE)*D179, 0)))</f>
        <v/>
      </c>
      <c r="H179" s="117">
        <f>IF(OR(C179="", D179=""), "", IFERROR(VLOOKUP(C179, '03_FOOD_DATABASE'!$B$5:$L$60, 8, FALSE)*D179/100, IFERROR(VLOOKUP(C179, '04_RECIPE_DATABASE'!$B$5:$M$20, 10, FALSE)*D179, 0)))</f>
        <v/>
      </c>
      <c r="I179" s="117">
        <f>IF(OR(C179="", D179=""), "", IFERROR(VLOOKUP(C179, '03_FOOD_DATABASE'!$B$5:$L$60, 9, FALSE)*D179/100, IFERROR(VLOOKUP(C179, '04_RECIPE_DATABASE'!$B$5:$M$20, 11, FALSE)*D179, 0)))</f>
        <v/>
      </c>
      <c r="J179" s="116">
        <f>IF(OR(C179="", D179=""), "", IFERROR(VLOOKUP(C179, '03_FOOD_DATABASE'!$B$5:$L$60, 11, FALSE)*D179/100, IFERROR(VLOOKUP(C179, '04_RECIPE_DATABASE'!$B$5:$M$20, 12, FALSE)*D179, 0)))</f>
        <v/>
      </c>
      <c r="K179" s="115" t="n"/>
      <c r="L179" s="115" t="n"/>
    </row>
    <row r="180">
      <c r="A180" s="115" t="n"/>
      <c r="B180" s="115" t="n"/>
      <c r="C180" s="115" t="n"/>
      <c r="D180" s="115" t="n"/>
      <c r="E180" s="115" t="n"/>
      <c r="F180" s="116">
        <f>IF(OR(C180="", D180=""), "", IFERROR(VLOOKUP(C180, '03_FOOD_DATABASE'!$B$5:$L$60, 6, FALSE)*D180/100, IFERROR(VLOOKUP(C180, '04_RECIPE_DATABASE'!$B$5:$M$20, 8, FALSE)*D180, 0)))</f>
        <v/>
      </c>
      <c r="G180" s="117">
        <f>IF(OR(C180="", D180=""), "", IFERROR(VLOOKUP(C180, '03_FOOD_DATABASE'!$B$5:$L$60, 7, FALSE)*D180/100, IFERROR(VLOOKUP(C180, '04_RECIPE_DATABASE'!$B$5:$M$20, 9, FALSE)*D180, 0)))</f>
        <v/>
      </c>
      <c r="H180" s="117">
        <f>IF(OR(C180="", D180=""), "", IFERROR(VLOOKUP(C180, '03_FOOD_DATABASE'!$B$5:$L$60, 8, FALSE)*D180/100, IFERROR(VLOOKUP(C180, '04_RECIPE_DATABASE'!$B$5:$M$20, 10, FALSE)*D180, 0)))</f>
        <v/>
      </c>
      <c r="I180" s="117">
        <f>IF(OR(C180="", D180=""), "", IFERROR(VLOOKUP(C180, '03_FOOD_DATABASE'!$B$5:$L$60, 9, FALSE)*D180/100, IFERROR(VLOOKUP(C180, '04_RECIPE_DATABASE'!$B$5:$M$20, 11, FALSE)*D180, 0)))</f>
        <v/>
      </c>
      <c r="J180" s="116">
        <f>IF(OR(C180="", D180=""), "", IFERROR(VLOOKUP(C180, '03_FOOD_DATABASE'!$B$5:$L$60, 11, FALSE)*D180/100, IFERROR(VLOOKUP(C180, '04_RECIPE_DATABASE'!$B$5:$M$20, 12, FALSE)*D180, 0)))</f>
        <v/>
      </c>
      <c r="K180" s="115" t="n"/>
      <c r="L180" s="115" t="n"/>
    </row>
    <row r="181">
      <c r="A181" s="115" t="n"/>
      <c r="B181" s="115" t="n"/>
      <c r="C181" s="115" t="n"/>
      <c r="D181" s="115" t="n"/>
      <c r="E181" s="115" t="n"/>
      <c r="F181" s="116">
        <f>IF(OR(C181="", D181=""), "", IFERROR(VLOOKUP(C181, '03_FOOD_DATABASE'!$B$5:$L$60, 6, FALSE)*D181/100, IFERROR(VLOOKUP(C181, '04_RECIPE_DATABASE'!$B$5:$M$20, 8, FALSE)*D181, 0)))</f>
        <v/>
      </c>
      <c r="G181" s="117">
        <f>IF(OR(C181="", D181=""), "", IFERROR(VLOOKUP(C181, '03_FOOD_DATABASE'!$B$5:$L$60, 7, FALSE)*D181/100, IFERROR(VLOOKUP(C181, '04_RECIPE_DATABASE'!$B$5:$M$20, 9, FALSE)*D181, 0)))</f>
        <v/>
      </c>
      <c r="H181" s="117">
        <f>IF(OR(C181="", D181=""), "", IFERROR(VLOOKUP(C181, '03_FOOD_DATABASE'!$B$5:$L$60, 8, FALSE)*D181/100, IFERROR(VLOOKUP(C181, '04_RECIPE_DATABASE'!$B$5:$M$20, 10, FALSE)*D181, 0)))</f>
        <v/>
      </c>
      <c r="I181" s="117">
        <f>IF(OR(C181="", D181=""), "", IFERROR(VLOOKUP(C181, '03_FOOD_DATABASE'!$B$5:$L$60, 9, FALSE)*D181/100, IFERROR(VLOOKUP(C181, '04_RECIPE_DATABASE'!$B$5:$M$20, 11, FALSE)*D181, 0)))</f>
        <v/>
      </c>
      <c r="J181" s="116">
        <f>IF(OR(C181="", D181=""), "", IFERROR(VLOOKUP(C181, '03_FOOD_DATABASE'!$B$5:$L$60, 11, FALSE)*D181/100, IFERROR(VLOOKUP(C181, '04_RECIPE_DATABASE'!$B$5:$M$20, 12, FALSE)*D181, 0)))</f>
        <v/>
      </c>
      <c r="K181" s="115" t="n"/>
      <c r="L181" s="115" t="n"/>
    </row>
    <row r="182">
      <c r="A182" s="115" t="n"/>
      <c r="B182" s="115" t="n"/>
      <c r="C182" s="115" t="n"/>
      <c r="D182" s="115" t="n"/>
      <c r="E182" s="115" t="n"/>
      <c r="F182" s="116">
        <f>IF(OR(C182="", D182=""), "", IFERROR(VLOOKUP(C182, '03_FOOD_DATABASE'!$B$5:$L$60, 6, FALSE)*D182/100, IFERROR(VLOOKUP(C182, '04_RECIPE_DATABASE'!$B$5:$M$20, 8, FALSE)*D182, 0)))</f>
        <v/>
      </c>
      <c r="G182" s="117">
        <f>IF(OR(C182="", D182=""), "", IFERROR(VLOOKUP(C182, '03_FOOD_DATABASE'!$B$5:$L$60, 7, FALSE)*D182/100, IFERROR(VLOOKUP(C182, '04_RECIPE_DATABASE'!$B$5:$M$20, 9, FALSE)*D182, 0)))</f>
        <v/>
      </c>
      <c r="H182" s="117">
        <f>IF(OR(C182="", D182=""), "", IFERROR(VLOOKUP(C182, '03_FOOD_DATABASE'!$B$5:$L$60, 8, FALSE)*D182/100, IFERROR(VLOOKUP(C182, '04_RECIPE_DATABASE'!$B$5:$M$20, 10, FALSE)*D182, 0)))</f>
        <v/>
      </c>
      <c r="I182" s="117">
        <f>IF(OR(C182="", D182=""), "", IFERROR(VLOOKUP(C182, '03_FOOD_DATABASE'!$B$5:$L$60, 9, FALSE)*D182/100, IFERROR(VLOOKUP(C182, '04_RECIPE_DATABASE'!$B$5:$M$20, 11, FALSE)*D182, 0)))</f>
        <v/>
      </c>
      <c r="J182" s="116">
        <f>IF(OR(C182="", D182=""), "", IFERROR(VLOOKUP(C182, '03_FOOD_DATABASE'!$B$5:$L$60, 11, FALSE)*D182/100, IFERROR(VLOOKUP(C182, '04_RECIPE_DATABASE'!$B$5:$M$20, 12, FALSE)*D182, 0)))</f>
        <v/>
      </c>
      <c r="K182" s="115" t="n"/>
      <c r="L182" s="115" t="n"/>
    </row>
    <row r="183">
      <c r="A183" s="115" t="n"/>
      <c r="B183" s="115" t="n"/>
      <c r="C183" s="115" t="n"/>
      <c r="D183" s="115" t="n"/>
      <c r="E183" s="115" t="n"/>
      <c r="F183" s="116">
        <f>IF(OR(C183="", D183=""), "", IFERROR(VLOOKUP(C183, '03_FOOD_DATABASE'!$B$5:$L$60, 6, FALSE)*D183/100, IFERROR(VLOOKUP(C183, '04_RECIPE_DATABASE'!$B$5:$M$20, 8, FALSE)*D183, 0)))</f>
        <v/>
      </c>
      <c r="G183" s="117">
        <f>IF(OR(C183="", D183=""), "", IFERROR(VLOOKUP(C183, '03_FOOD_DATABASE'!$B$5:$L$60, 7, FALSE)*D183/100, IFERROR(VLOOKUP(C183, '04_RECIPE_DATABASE'!$B$5:$M$20, 9, FALSE)*D183, 0)))</f>
        <v/>
      </c>
      <c r="H183" s="117">
        <f>IF(OR(C183="", D183=""), "", IFERROR(VLOOKUP(C183, '03_FOOD_DATABASE'!$B$5:$L$60, 8, FALSE)*D183/100, IFERROR(VLOOKUP(C183, '04_RECIPE_DATABASE'!$B$5:$M$20, 10, FALSE)*D183, 0)))</f>
        <v/>
      </c>
      <c r="I183" s="117">
        <f>IF(OR(C183="", D183=""), "", IFERROR(VLOOKUP(C183, '03_FOOD_DATABASE'!$B$5:$L$60, 9, FALSE)*D183/100, IFERROR(VLOOKUP(C183, '04_RECIPE_DATABASE'!$B$5:$M$20, 11, FALSE)*D183, 0)))</f>
        <v/>
      </c>
      <c r="J183" s="116">
        <f>IF(OR(C183="", D183=""), "", IFERROR(VLOOKUP(C183, '03_FOOD_DATABASE'!$B$5:$L$60, 11, FALSE)*D183/100, IFERROR(VLOOKUP(C183, '04_RECIPE_DATABASE'!$B$5:$M$20, 12, FALSE)*D183, 0)))</f>
        <v/>
      </c>
      <c r="K183" s="115" t="n"/>
      <c r="L183" s="115" t="n"/>
    </row>
    <row r="184">
      <c r="A184" s="115" t="n"/>
      <c r="B184" s="115" t="n"/>
      <c r="C184" s="115" t="n"/>
      <c r="D184" s="115" t="n"/>
      <c r="E184" s="115" t="n"/>
      <c r="F184" s="116">
        <f>IF(OR(C184="", D184=""), "", IFERROR(VLOOKUP(C184, '03_FOOD_DATABASE'!$B$5:$L$60, 6, FALSE)*D184/100, IFERROR(VLOOKUP(C184, '04_RECIPE_DATABASE'!$B$5:$M$20, 8, FALSE)*D184, 0)))</f>
        <v/>
      </c>
      <c r="G184" s="117">
        <f>IF(OR(C184="", D184=""), "", IFERROR(VLOOKUP(C184, '03_FOOD_DATABASE'!$B$5:$L$60, 7, FALSE)*D184/100, IFERROR(VLOOKUP(C184, '04_RECIPE_DATABASE'!$B$5:$M$20, 9, FALSE)*D184, 0)))</f>
        <v/>
      </c>
      <c r="H184" s="117">
        <f>IF(OR(C184="", D184=""), "", IFERROR(VLOOKUP(C184, '03_FOOD_DATABASE'!$B$5:$L$60, 8, FALSE)*D184/100, IFERROR(VLOOKUP(C184, '04_RECIPE_DATABASE'!$B$5:$M$20, 10, FALSE)*D184, 0)))</f>
        <v/>
      </c>
      <c r="I184" s="117">
        <f>IF(OR(C184="", D184=""), "", IFERROR(VLOOKUP(C184, '03_FOOD_DATABASE'!$B$5:$L$60, 9, FALSE)*D184/100, IFERROR(VLOOKUP(C184, '04_RECIPE_DATABASE'!$B$5:$M$20, 11, FALSE)*D184, 0)))</f>
        <v/>
      </c>
      <c r="J184" s="116">
        <f>IF(OR(C184="", D184=""), "", IFERROR(VLOOKUP(C184, '03_FOOD_DATABASE'!$B$5:$L$60, 11, FALSE)*D184/100, IFERROR(VLOOKUP(C184, '04_RECIPE_DATABASE'!$B$5:$M$20, 12, FALSE)*D184, 0)))</f>
        <v/>
      </c>
      <c r="K184" s="115" t="n"/>
      <c r="L184" s="115" t="n"/>
    </row>
    <row r="185">
      <c r="A185" s="115" t="n"/>
      <c r="B185" s="115" t="n"/>
      <c r="C185" s="115" t="n"/>
      <c r="D185" s="115" t="n"/>
      <c r="E185" s="115" t="n"/>
      <c r="F185" s="116">
        <f>IF(OR(C185="", D185=""), "", IFERROR(VLOOKUP(C185, '03_FOOD_DATABASE'!$B$5:$L$60, 6, FALSE)*D185/100, IFERROR(VLOOKUP(C185, '04_RECIPE_DATABASE'!$B$5:$M$20, 8, FALSE)*D185, 0)))</f>
        <v/>
      </c>
      <c r="G185" s="117">
        <f>IF(OR(C185="", D185=""), "", IFERROR(VLOOKUP(C185, '03_FOOD_DATABASE'!$B$5:$L$60, 7, FALSE)*D185/100, IFERROR(VLOOKUP(C185, '04_RECIPE_DATABASE'!$B$5:$M$20, 9, FALSE)*D185, 0)))</f>
        <v/>
      </c>
      <c r="H185" s="117">
        <f>IF(OR(C185="", D185=""), "", IFERROR(VLOOKUP(C185, '03_FOOD_DATABASE'!$B$5:$L$60, 8, FALSE)*D185/100, IFERROR(VLOOKUP(C185, '04_RECIPE_DATABASE'!$B$5:$M$20, 10, FALSE)*D185, 0)))</f>
        <v/>
      </c>
      <c r="I185" s="117">
        <f>IF(OR(C185="", D185=""), "", IFERROR(VLOOKUP(C185, '03_FOOD_DATABASE'!$B$5:$L$60, 9, FALSE)*D185/100, IFERROR(VLOOKUP(C185, '04_RECIPE_DATABASE'!$B$5:$M$20, 11, FALSE)*D185, 0)))</f>
        <v/>
      </c>
      <c r="J185" s="116">
        <f>IF(OR(C185="", D185=""), "", IFERROR(VLOOKUP(C185, '03_FOOD_DATABASE'!$B$5:$L$60, 11, FALSE)*D185/100, IFERROR(VLOOKUP(C185, '04_RECIPE_DATABASE'!$B$5:$M$20, 12, FALSE)*D185, 0)))</f>
        <v/>
      </c>
      <c r="K185" s="115" t="n"/>
      <c r="L185" s="115" t="n"/>
    </row>
    <row r="186">
      <c r="A186" s="115" t="n"/>
      <c r="B186" s="115" t="n"/>
      <c r="C186" s="115" t="n"/>
      <c r="D186" s="115" t="n"/>
      <c r="E186" s="115" t="n"/>
      <c r="F186" s="116">
        <f>IF(OR(C186="", D186=""), "", IFERROR(VLOOKUP(C186, '03_FOOD_DATABASE'!$B$5:$L$60, 6, FALSE)*D186/100, IFERROR(VLOOKUP(C186, '04_RECIPE_DATABASE'!$B$5:$M$20, 8, FALSE)*D186, 0)))</f>
        <v/>
      </c>
      <c r="G186" s="117">
        <f>IF(OR(C186="", D186=""), "", IFERROR(VLOOKUP(C186, '03_FOOD_DATABASE'!$B$5:$L$60, 7, FALSE)*D186/100, IFERROR(VLOOKUP(C186, '04_RECIPE_DATABASE'!$B$5:$M$20, 9, FALSE)*D186, 0)))</f>
        <v/>
      </c>
      <c r="H186" s="117">
        <f>IF(OR(C186="", D186=""), "", IFERROR(VLOOKUP(C186, '03_FOOD_DATABASE'!$B$5:$L$60, 8, FALSE)*D186/100, IFERROR(VLOOKUP(C186, '04_RECIPE_DATABASE'!$B$5:$M$20, 10, FALSE)*D186, 0)))</f>
        <v/>
      </c>
      <c r="I186" s="117">
        <f>IF(OR(C186="", D186=""), "", IFERROR(VLOOKUP(C186, '03_FOOD_DATABASE'!$B$5:$L$60, 9, FALSE)*D186/100, IFERROR(VLOOKUP(C186, '04_RECIPE_DATABASE'!$B$5:$M$20, 11, FALSE)*D186, 0)))</f>
        <v/>
      </c>
      <c r="J186" s="116">
        <f>IF(OR(C186="", D186=""), "", IFERROR(VLOOKUP(C186, '03_FOOD_DATABASE'!$B$5:$L$60, 11, FALSE)*D186/100, IFERROR(VLOOKUP(C186, '04_RECIPE_DATABASE'!$B$5:$M$20, 12, FALSE)*D186, 0)))</f>
        <v/>
      </c>
      <c r="K186" s="115" t="n"/>
      <c r="L186" s="115" t="n"/>
    </row>
    <row r="187">
      <c r="A187" s="115" t="n"/>
      <c r="B187" s="115" t="n"/>
      <c r="C187" s="115" t="n"/>
      <c r="D187" s="115" t="n"/>
      <c r="E187" s="115" t="n"/>
      <c r="F187" s="116">
        <f>IF(OR(C187="", D187=""), "", IFERROR(VLOOKUP(C187, '03_FOOD_DATABASE'!$B$5:$L$60, 6, FALSE)*D187/100, IFERROR(VLOOKUP(C187, '04_RECIPE_DATABASE'!$B$5:$M$20, 8, FALSE)*D187, 0)))</f>
        <v/>
      </c>
      <c r="G187" s="117">
        <f>IF(OR(C187="", D187=""), "", IFERROR(VLOOKUP(C187, '03_FOOD_DATABASE'!$B$5:$L$60, 7, FALSE)*D187/100, IFERROR(VLOOKUP(C187, '04_RECIPE_DATABASE'!$B$5:$M$20, 9, FALSE)*D187, 0)))</f>
        <v/>
      </c>
      <c r="H187" s="117">
        <f>IF(OR(C187="", D187=""), "", IFERROR(VLOOKUP(C187, '03_FOOD_DATABASE'!$B$5:$L$60, 8, FALSE)*D187/100, IFERROR(VLOOKUP(C187, '04_RECIPE_DATABASE'!$B$5:$M$20, 10, FALSE)*D187, 0)))</f>
        <v/>
      </c>
      <c r="I187" s="117">
        <f>IF(OR(C187="", D187=""), "", IFERROR(VLOOKUP(C187, '03_FOOD_DATABASE'!$B$5:$L$60, 9, FALSE)*D187/100, IFERROR(VLOOKUP(C187, '04_RECIPE_DATABASE'!$B$5:$M$20, 11, FALSE)*D187, 0)))</f>
        <v/>
      </c>
      <c r="J187" s="116">
        <f>IF(OR(C187="", D187=""), "", IFERROR(VLOOKUP(C187, '03_FOOD_DATABASE'!$B$5:$L$60, 11, FALSE)*D187/100, IFERROR(VLOOKUP(C187, '04_RECIPE_DATABASE'!$B$5:$M$20, 12, FALSE)*D187, 0)))</f>
        <v/>
      </c>
      <c r="K187" s="115" t="n"/>
      <c r="L187" s="115" t="n"/>
    </row>
    <row r="188">
      <c r="A188" s="115" t="n"/>
      <c r="B188" s="115" t="n"/>
      <c r="C188" s="115" t="n"/>
      <c r="D188" s="115" t="n"/>
      <c r="E188" s="115" t="n"/>
      <c r="F188" s="116">
        <f>IF(OR(C188="", D188=""), "", IFERROR(VLOOKUP(C188, '03_FOOD_DATABASE'!$B$5:$L$60, 6, FALSE)*D188/100, IFERROR(VLOOKUP(C188, '04_RECIPE_DATABASE'!$B$5:$M$20, 8, FALSE)*D188, 0)))</f>
        <v/>
      </c>
      <c r="G188" s="117">
        <f>IF(OR(C188="", D188=""), "", IFERROR(VLOOKUP(C188, '03_FOOD_DATABASE'!$B$5:$L$60, 7, FALSE)*D188/100, IFERROR(VLOOKUP(C188, '04_RECIPE_DATABASE'!$B$5:$M$20, 9, FALSE)*D188, 0)))</f>
        <v/>
      </c>
      <c r="H188" s="117">
        <f>IF(OR(C188="", D188=""), "", IFERROR(VLOOKUP(C188, '03_FOOD_DATABASE'!$B$5:$L$60, 8, FALSE)*D188/100, IFERROR(VLOOKUP(C188, '04_RECIPE_DATABASE'!$B$5:$M$20, 10, FALSE)*D188, 0)))</f>
        <v/>
      </c>
      <c r="I188" s="117">
        <f>IF(OR(C188="", D188=""), "", IFERROR(VLOOKUP(C188, '03_FOOD_DATABASE'!$B$5:$L$60, 9, FALSE)*D188/100, IFERROR(VLOOKUP(C188, '04_RECIPE_DATABASE'!$B$5:$M$20, 11, FALSE)*D188, 0)))</f>
        <v/>
      </c>
      <c r="J188" s="116">
        <f>IF(OR(C188="", D188=""), "", IFERROR(VLOOKUP(C188, '03_FOOD_DATABASE'!$B$5:$L$60, 11, FALSE)*D188/100, IFERROR(VLOOKUP(C188, '04_RECIPE_DATABASE'!$B$5:$M$20, 12, FALSE)*D188, 0)))</f>
        <v/>
      </c>
      <c r="K188" s="115" t="n"/>
      <c r="L188" s="115" t="n"/>
    </row>
    <row r="189">
      <c r="A189" s="115" t="n"/>
      <c r="B189" s="115" t="n"/>
      <c r="C189" s="115" t="n"/>
      <c r="D189" s="115" t="n"/>
      <c r="E189" s="115" t="n"/>
      <c r="F189" s="116">
        <f>IF(OR(C189="", D189=""), "", IFERROR(VLOOKUP(C189, '03_FOOD_DATABASE'!$B$5:$L$60, 6, FALSE)*D189/100, IFERROR(VLOOKUP(C189, '04_RECIPE_DATABASE'!$B$5:$M$20, 8, FALSE)*D189, 0)))</f>
        <v/>
      </c>
      <c r="G189" s="117">
        <f>IF(OR(C189="", D189=""), "", IFERROR(VLOOKUP(C189, '03_FOOD_DATABASE'!$B$5:$L$60, 7, FALSE)*D189/100, IFERROR(VLOOKUP(C189, '04_RECIPE_DATABASE'!$B$5:$M$20, 9, FALSE)*D189, 0)))</f>
        <v/>
      </c>
      <c r="H189" s="117">
        <f>IF(OR(C189="", D189=""), "", IFERROR(VLOOKUP(C189, '03_FOOD_DATABASE'!$B$5:$L$60, 8, FALSE)*D189/100, IFERROR(VLOOKUP(C189, '04_RECIPE_DATABASE'!$B$5:$M$20, 10, FALSE)*D189, 0)))</f>
        <v/>
      </c>
      <c r="I189" s="117">
        <f>IF(OR(C189="", D189=""), "", IFERROR(VLOOKUP(C189, '03_FOOD_DATABASE'!$B$5:$L$60, 9, FALSE)*D189/100, IFERROR(VLOOKUP(C189, '04_RECIPE_DATABASE'!$B$5:$M$20, 11, FALSE)*D189, 0)))</f>
        <v/>
      </c>
      <c r="J189" s="116">
        <f>IF(OR(C189="", D189=""), "", IFERROR(VLOOKUP(C189, '03_FOOD_DATABASE'!$B$5:$L$60, 11, FALSE)*D189/100, IFERROR(VLOOKUP(C189, '04_RECIPE_DATABASE'!$B$5:$M$20, 12, FALSE)*D189, 0)))</f>
        <v/>
      </c>
      <c r="K189" s="115" t="n"/>
      <c r="L189" s="115" t="n"/>
    </row>
    <row r="190">
      <c r="A190" s="115" t="n"/>
      <c r="B190" s="115" t="n"/>
      <c r="C190" s="115" t="n"/>
      <c r="D190" s="115" t="n"/>
      <c r="E190" s="115" t="n"/>
      <c r="F190" s="116">
        <f>IF(OR(C190="", D190=""), "", IFERROR(VLOOKUP(C190, '03_FOOD_DATABASE'!$B$5:$L$60, 6, FALSE)*D190/100, IFERROR(VLOOKUP(C190, '04_RECIPE_DATABASE'!$B$5:$M$20, 8, FALSE)*D190, 0)))</f>
        <v/>
      </c>
      <c r="G190" s="117">
        <f>IF(OR(C190="", D190=""), "", IFERROR(VLOOKUP(C190, '03_FOOD_DATABASE'!$B$5:$L$60, 7, FALSE)*D190/100, IFERROR(VLOOKUP(C190, '04_RECIPE_DATABASE'!$B$5:$M$20, 9, FALSE)*D190, 0)))</f>
        <v/>
      </c>
      <c r="H190" s="117">
        <f>IF(OR(C190="", D190=""), "", IFERROR(VLOOKUP(C190, '03_FOOD_DATABASE'!$B$5:$L$60, 8, FALSE)*D190/100, IFERROR(VLOOKUP(C190, '04_RECIPE_DATABASE'!$B$5:$M$20, 10, FALSE)*D190, 0)))</f>
        <v/>
      </c>
      <c r="I190" s="117">
        <f>IF(OR(C190="", D190=""), "", IFERROR(VLOOKUP(C190, '03_FOOD_DATABASE'!$B$5:$L$60, 9, FALSE)*D190/100, IFERROR(VLOOKUP(C190, '04_RECIPE_DATABASE'!$B$5:$M$20, 11, FALSE)*D190, 0)))</f>
        <v/>
      </c>
      <c r="J190" s="116">
        <f>IF(OR(C190="", D190=""), "", IFERROR(VLOOKUP(C190, '03_FOOD_DATABASE'!$B$5:$L$60, 11, FALSE)*D190/100, IFERROR(VLOOKUP(C190, '04_RECIPE_DATABASE'!$B$5:$M$20, 12, FALSE)*D190, 0)))</f>
        <v/>
      </c>
      <c r="K190" s="115" t="n"/>
      <c r="L190" s="115" t="n"/>
    </row>
    <row r="191">
      <c r="A191" s="115" t="n"/>
      <c r="B191" s="115" t="n"/>
      <c r="C191" s="115" t="n"/>
      <c r="D191" s="115" t="n"/>
      <c r="E191" s="115" t="n"/>
      <c r="F191" s="116">
        <f>IF(OR(C191="", D191=""), "", IFERROR(VLOOKUP(C191, '03_FOOD_DATABASE'!$B$5:$L$60, 6, FALSE)*D191/100, IFERROR(VLOOKUP(C191, '04_RECIPE_DATABASE'!$B$5:$M$20, 8, FALSE)*D191, 0)))</f>
        <v/>
      </c>
      <c r="G191" s="117">
        <f>IF(OR(C191="", D191=""), "", IFERROR(VLOOKUP(C191, '03_FOOD_DATABASE'!$B$5:$L$60, 7, FALSE)*D191/100, IFERROR(VLOOKUP(C191, '04_RECIPE_DATABASE'!$B$5:$M$20, 9, FALSE)*D191, 0)))</f>
        <v/>
      </c>
      <c r="H191" s="117">
        <f>IF(OR(C191="", D191=""), "", IFERROR(VLOOKUP(C191, '03_FOOD_DATABASE'!$B$5:$L$60, 8, FALSE)*D191/100, IFERROR(VLOOKUP(C191, '04_RECIPE_DATABASE'!$B$5:$M$20, 10, FALSE)*D191, 0)))</f>
        <v/>
      </c>
      <c r="I191" s="117">
        <f>IF(OR(C191="", D191=""), "", IFERROR(VLOOKUP(C191, '03_FOOD_DATABASE'!$B$5:$L$60, 9, FALSE)*D191/100, IFERROR(VLOOKUP(C191, '04_RECIPE_DATABASE'!$B$5:$M$20, 11, FALSE)*D191, 0)))</f>
        <v/>
      </c>
      <c r="J191" s="116">
        <f>IF(OR(C191="", D191=""), "", IFERROR(VLOOKUP(C191, '03_FOOD_DATABASE'!$B$5:$L$60, 11, FALSE)*D191/100, IFERROR(VLOOKUP(C191, '04_RECIPE_DATABASE'!$B$5:$M$20, 12, FALSE)*D191, 0)))</f>
        <v/>
      </c>
      <c r="K191" s="115" t="n"/>
      <c r="L191" s="115" t="n"/>
    </row>
    <row r="192">
      <c r="A192" s="115" t="n"/>
      <c r="B192" s="115" t="n"/>
      <c r="C192" s="115" t="n"/>
      <c r="D192" s="115" t="n"/>
      <c r="E192" s="115" t="n"/>
      <c r="F192" s="116">
        <f>IF(OR(C192="", D192=""), "", IFERROR(VLOOKUP(C192, '03_FOOD_DATABASE'!$B$5:$L$60, 6, FALSE)*D192/100, IFERROR(VLOOKUP(C192, '04_RECIPE_DATABASE'!$B$5:$M$20, 8, FALSE)*D192, 0)))</f>
        <v/>
      </c>
      <c r="G192" s="117">
        <f>IF(OR(C192="", D192=""), "", IFERROR(VLOOKUP(C192, '03_FOOD_DATABASE'!$B$5:$L$60, 7, FALSE)*D192/100, IFERROR(VLOOKUP(C192, '04_RECIPE_DATABASE'!$B$5:$M$20, 9, FALSE)*D192, 0)))</f>
        <v/>
      </c>
      <c r="H192" s="117">
        <f>IF(OR(C192="", D192=""), "", IFERROR(VLOOKUP(C192, '03_FOOD_DATABASE'!$B$5:$L$60, 8, FALSE)*D192/100, IFERROR(VLOOKUP(C192, '04_RECIPE_DATABASE'!$B$5:$M$20, 10, FALSE)*D192, 0)))</f>
        <v/>
      </c>
      <c r="I192" s="117">
        <f>IF(OR(C192="", D192=""), "", IFERROR(VLOOKUP(C192, '03_FOOD_DATABASE'!$B$5:$L$60, 9, FALSE)*D192/100, IFERROR(VLOOKUP(C192, '04_RECIPE_DATABASE'!$B$5:$M$20, 11, FALSE)*D192, 0)))</f>
        <v/>
      </c>
      <c r="J192" s="116">
        <f>IF(OR(C192="", D192=""), "", IFERROR(VLOOKUP(C192, '03_FOOD_DATABASE'!$B$5:$L$60, 11, FALSE)*D192/100, IFERROR(VLOOKUP(C192, '04_RECIPE_DATABASE'!$B$5:$M$20, 12, FALSE)*D192, 0)))</f>
        <v/>
      </c>
      <c r="K192" s="115" t="n"/>
      <c r="L192" s="115" t="n"/>
    </row>
    <row r="193">
      <c r="A193" s="115" t="n"/>
      <c r="B193" s="115" t="n"/>
      <c r="C193" s="115" t="n"/>
      <c r="D193" s="115" t="n"/>
      <c r="E193" s="115" t="n"/>
      <c r="F193" s="116">
        <f>IF(OR(C193="", D193=""), "", IFERROR(VLOOKUP(C193, '03_FOOD_DATABASE'!$B$5:$L$60, 6, FALSE)*D193/100, IFERROR(VLOOKUP(C193, '04_RECIPE_DATABASE'!$B$5:$M$20, 8, FALSE)*D193, 0)))</f>
        <v/>
      </c>
      <c r="G193" s="117">
        <f>IF(OR(C193="", D193=""), "", IFERROR(VLOOKUP(C193, '03_FOOD_DATABASE'!$B$5:$L$60, 7, FALSE)*D193/100, IFERROR(VLOOKUP(C193, '04_RECIPE_DATABASE'!$B$5:$M$20, 9, FALSE)*D193, 0)))</f>
        <v/>
      </c>
      <c r="H193" s="117">
        <f>IF(OR(C193="", D193=""), "", IFERROR(VLOOKUP(C193, '03_FOOD_DATABASE'!$B$5:$L$60, 8, FALSE)*D193/100, IFERROR(VLOOKUP(C193, '04_RECIPE_DATABASE'!$B$5:$M$20, 10, FALSE)*D193, 0)))</f>
        <v/>
      </c>
      <c r="I193" s="117">
        <f>IF(OR(C193="", D193=""), "", IFERROR(VLOOKUP(C193, '03_FOOD_DATABASE'!$B$5:$L$60, 9, FALSE)*D193/100, IFERROR(VLOOKUP(C193, '04_RECIPE_DATABASE'!$B$5:$M$20, 11, FALSE)*D193, 0)))</f>
        <v/>
      </c>
      <c r="J193" s="116">
        <f>IF(OR(C193="", D193=""), "", IFERROR(VLOOKUP(C193, '03_FOOD_DATABASE'!$B$5:$L$60, 11, FALSE)*D193/100, IFERROR(VLOOKUP(C193, '04_RECIPE_DATABASE'!$B$5:$M$20, 12, FALSE)*D193, 0)))</f>
        <v/>
      </c>
      <c r="K193" s="115" t="n"/>
      <c r="L193" s="115" t="n"/>
    </row>
    <row r="194">
      <c r="A194" s="115" t="n"/>
      <c r="B194" s="115" t="n"/>
      <c r="C194" s="115" t="n"/>
      <c r="D194" s="115" t="n"/>
      <c r="E194" s="115" t="n"/>
      <c r="F194" s="116">
        <f>IF(OR(C194="", D194=""), "", IFERROR(VLOOKUP(C194, '03_FOOD_DATABASE'!$B$5:$L$60, 6, FALSE)*D194/100, IFERROR(VLOOKUP(C194, '04_RECIPE_DATABASE'!$B$5:$M$20, 8, FALSE)*D194, 0)))</f>
        <v/>
      </c>
      <c r="G194" s="117">
        <f>IF(OR(C194="", D194=""), "", IFERROR(VLOOKUP(C194, '03_FOOD_DATABASE'!$B$5:$L$60, 7, FALSE)*D194/100, IFERROR(VLOOKUP(C194, '04_RECIPE_DATABASE'!$B$5:$M$20, 9, FALSE)*D194, 0)))</f>
        <v/>
      </c>
      <c r="H194" s="117">
        <f>IF(OR(C194="", D194=""), "", IFERROR(VLOOKUP(C194, '03_FOOD_DATABASE'!$B$5:$L$60, 8, FALSE)*D194/100, IFERROR(VLOOKUP(C194, '04_RECIPE_DATABASE'!$B$5:$M$20, 10, FALSE)*D194, 0)))</f>
        <v/>
      </c>
      <c r="I194" s="117">
        <f>IF(OR(C194="", D194=""), "", IFERROR(VLOOKUP(C194, '03_FOOD_DATABASE'!$B$5:$L$60, 9, FALSE)*D194/100, IFERROR(VLOOKUP(C194, '04_RECIPE_DATABASE'!$B$5:$M$20, 11, FALSE)*D194, 0)))</f>
        <v/>
      </c>
      <c r="J194" s="116">
        <f>IF(OR(C194="", D194=""), "", IFERROR(VLOOKUP(C194, '03_FOOD_DATABASE'!$B$5:$L$60, 11, FALSE)*D194/100, IFERROR(VLOOKUP(C194, '04_RECIPE_DATABASE'!$B$5:$M$20, 12, FALSE)*D194, 0)))</f>
        <v/>
      </c>
      <c r="K194" s="115" t="n"/>
      <c r="L194" s="115" t="n"/>
    </row>
    <row r="195">
      <c r="A195" s="115" t="n"/>
      <c r="B195" s="115" t="n"/>
      <c r="C195" s="115" t="n"/>
      <c r="D195" s="115" t="n"/>
      <c r="E195" s="115" t="n"/>
      <c r="F195" s="116">
        <f>IF(OR(C195="", D195=""), "", IFERROR(VLOOKUP(C195, '03_FOOD_DATABASE'!$B$5:$L$60, 6, FALSE)*D195/100, IFERROR(VLOOKUP(C195, '04_RECIPE_DATABASE'!$B$5:$M$20, 8, FALSE)*D195, 0)))</f>
        <v/>
      </c>
      <c r="G195" s="117">
        <f>IF(OR(C195="", D195=""), "", IFERROR(VLOOKUP(C195, '03_FOOD_DATABASE'!$B$5:$L$60, 7, FALSE)*D195/100, IFERROR(VLOOKUP(C195, '04_RECIPE_DATABASE'!$B$5:$M$20, 9, FALSE)*D195, 0)))</f>
        <v/>
      </c>
      <c r="H195" s="117">
        <f>IF(OR(C195="", D195=""), "", IFERROR(VLOOKUP(C195, '03_FOOD_DATABASE'!$B$5:$L$60, 8, FALSE)*D195/100, IFERROR(VLOOKUP(C195, '04_RECIPE_DATABASE'!$B$5:$M$20, 10, FALSE)*D195, 0)))</f>
        <v/>
      </c>
      <c r="I195" s="117">
        <f>IF(OR(C195="", D195=""), "", IFERROR(VLOOKUP(C195, '03_FOOD_DATABASE'!$B$5:$L$60, 9, FALSE)*D195/100, IFERROR(VLOOKUP(C195, '04_RECIPE_DATABASE'!$B$5:$M$20, 11, FALSE)*D195, 0)))</f>
        <v/>
      </c>
      <c r="J195" s="116">
        <f>IF(OR(C195="", D195=""), "", IFERROR(VLOOKUP(C195, '03_FOOD_DATABASE'!$B$5:$L$60, 11, FALSE)*D195/100, IFERROR(VLOOKUP(C195, '04_RECIPE_DATABASE'!$B$5:$M$20, 12, FALSE)*D195, 0)))</f>
        <v/>
      </c>
      <c r="K195" s="115" t="n"/>
      <c r="L195" s="115" t="n"/>
    </row>
    <row r="196">
      <c r="A196" s="115" t="n"/>
      <c r="B196" s="115" t="n"/>
      <c r="C196" s="115" t="n"/>
      <c r="D196" s="115" t="n"/>
      <c r="E196" s="115" t="n"/>
      <c r="F196" s="116">
        <f>IF(OR(C196="", D196=""), "", IFERROR(VLOOKUP(C196, '03_FOOD_DATABASE'!$B$5:$L$60, 6, FALSE)*D196/100, IFERROR(VLOOKUP(C196, '04_RECIPE_DATABASE'!$B$5:$M$20, 8, FALSE)*D196, 0)))</f>
        <v/>
      </c>
      <c r="G196" s="117">
        <f>IF(OR(C196="", D196=""), "", IFERROR(VLOOKUP(C196, '03_FOOD_DATABASE'!$B$5:$L$60, 7, FALSE)*D196/100, IFERROR(VLOOKUP(C196, '04_RECIPE_DATABASE'!$B$5:$M$20, 9, FALSE)*D196, 0)))</f>
        <v/>
      </c>
      <c r="H196" s="117">
        <f>IF(OR(C196="", D196=""), "", IFERROR(VLOOKUP(C196, '03_FOOD_DATABASE'!$B$5:$L$60, 8, FALSE)*D196/100, IFERROR(VLOOKUP(C196, '04_RECIPE_DATABASE'!$B$5:$M$20, 10, FALSE)*D196, 0)))</f>
        <v/>
      </c>
      <c r="I196" s="117">
        <f>IF(OR(C196="", D196=""), "", IFERROR(VLOOKUP(C196, '03_FOOD_DATABASE'!$B$5:$L$60, 9, FALSE)*D196/100, IFERROR(VLOOKUP(C196, '04_RECIPE_DATABASE'!$B$5:$M$20, 11, FALSE)*D196, 0)))</f>
        <v/>
      </c>
      <c r="J196" s="116">
        <f>IF(OR(C196="", D196=""), "", IFERROR(VLOOKUP(C196, '03_FOOD_DATABASE'!$B$5:$L$60, 11, FALSE)*D196/100, IFERROR(VLOOKUP(C196, '04_RECIPE_DATABASE'!$B$5:$M$20, 12, FALSE)*D196, 0)))</f>
        <v/>
      </c>
      <c r="K196" s="115" t="n"/>
      <c r="L196" s="115" t="n"/>
    </row>
    <row r="197">
      <c r="A197" s="115" t="n"/>
      <c r="B197" s="115" t="n"/>
      <c r="C197" s="115" t="n"/>
      <c r="D197" s="115" t="n"/>
      <c r="E197" s="115" t="n"/>
      <c r="F197" s="116">
        <f>IF(OR(C197="", D197=""), "", IFERROR(VLOOKUP(C197, '03_FOOD_DATABASE'!$B$5:$L$60, 6, FALSE)*D197/100, IFERROR(VLOOKUP(C197, '04_RECIPE_DATABASE'!$B$5:$M$20, 8, FALSE)*D197, 0)))</f>
        <v/>
      </c>
      <c r="G197" s="117">
        <f>IF(OR(C197="", D197=""), "", IFERROR(VLOOKUP(C197, '03_FOOD_DATABASE'!$B$5:$L$60, 7, FALSE)*D197/100, IFERROR(VLOOKUP(C197, '04_RECIPE_DATABASE'!$B$5:$M$20, 9, FALSE)*D197, 0)))</f>
        <v/>
      </c>
      <c r="H197" s="117">
        <f>IF(OR(C197="", D197=""), "", IFERROR(VLOOKUP(C197, '03_FOOD_DATABASE'!$B$5:$L$60, 8, FALSE)*D197/100, IFERROR(VLOOKUP(C197, '04_RECIPE_DATABASE'!$B$5:$M$20, 10, FALSE)*D197, 0)))</f>
        <v/>
      </c>
      <c r="I197" s="117">
        <f>IF(OR(C197="", D197=""), "", IFERROR(VLOOKUP(C197, '03_FOOD_DATABASE'!$B$5:$L$60, 9, FALSE)*D197/100, IFERROR(VLOOKUP(C197, '04_RECIPE_DATABASE'!$B$5:$M$20, 11, FALSE)*D197, 0)))</f>
        <v/>
      </c>
      <c r="J197" s="116">
        <f>IF(OR(C197="", D197=""), "", IFERROR(VLOOKUP(C197, '03_FOOD_DATABASE'!$B$5:$L$60, 11, FALSE)*D197/100, IFERROR(VLOOKUP(C197, '04_RECIPE_DATABASE'!$B$5:$M$20, 12, FALSE)*D197, 0)))</f>
        <v/>
      </c>
      <c r="K197" s="115" t="n"/>
      <c r="L197" s="115" t="n"/>
    </row>
    <row r="198">
      <c r="A198" s="115" t="n"/>
      <c r="B198" s="115" t="n"/>
      <c r="C198" s="115" t="n"/>
      <c r="D198" s="115" t="n"/>
      <c r="E198" s="115" t="n"/>
      <c r="F198" s="116">
        <f>IF(OR(C198="", D198=""), "", IFERROR(VLOOKUP(C198, '03_FOOD_DATABASE'!$B$5:$L$60, 6, FALSE)*D198/100, IFERROR(VLOOKUP(C198, '04_RECIPE_DATABASE'!$B$5:$M$20, 8, FALSE)*D198, 0)))</f>
        <v/>
      </c>
      <c r="G198" s="117">
        <f>IF(OR(C198="", D198=""), "", IFERROR(VLOOKUP(C198, '03_FOOD_DATABASE'!$B$5:$L$60, 7, FALSE)*D198/100, IFERROR(VLOOKUP(C198, '04_RECIPE_DATABASE'!$B$5:$M$20, 9, FALSE)*D198, 0)))</f>
        <v/>
      </c>
      <c r="H198" s="117">
        <f>IF(OR(C198="", D198=""), "", IFERROR(VLOOKUP(C198, '03_FOOD_DATABASE'!$B$5:$L$60, 8, FALSE)*D198/100, IFERROR(VLOOKUP(C198, '04_RECIPE_DATABASE'!$B$5:$M$20, 10, FALSE)*D198, 0)))</f>
        <v/>
      </c>
      <c r="I198" s="117">
        <f>IF(OR(C198="", D198=""), "", IFERROR(VLOOKUP(C198, '03_FOOD_DATABASE'!$B$5:$L$60, 9, FALSE)*D198/100, IFERROR(VLOOKUP(C198, '04_RECIPE_DATABASE'!$B$5:$M$20, 11, FALSE)*D198, 0)))</f>
        <v/>
      </c>
      <c r="J198" s="116">
        <f>IF(OR(C198="", D198=""), "", IFERROR(VLOOKUP(C198, '03_FOOD_DATABASE'!$B$5:$L$60, 11, FALSE)*D198/100, IFERROR(VLOOKUP(C198, '04_RECIPE_DATABASE'!$B$5:$M$20, 12, FALSE)*D198, 0)))</f>
        <v/>
      </c>
      <c r="K198" s="115" t="n"/>
      <c r="L198" s="115" t="n"/>
    </row>
    <row r="199">
      <c r="A199" s="115" t="n"/>
      <c r="B199" s="115" t="n"/>
      <c r="C199" s="115" t="n"/>
      <c r="D199" s="115" t="n"/>
      <c r="E199" s="115" t="n"/>
      <c r="F199" s="116">
        <f>IF(OR(C199="", D199=""), "", IFERROR(VLOOKUP(C199, '03_FOOD_DATABASE'!$B$5:$L$60, 6, FALSE)*D199/100, IFERROR(VLOOKUP(C199, '04_RECIPE_DATABASE'!$B$5:$M$20, 8, FALSE)*D199, 0)))</f>
        <v/>
      </c>
      <c r="G199" s="117">
        <f>IF(OR(C199="", D199=""), "", IFERROR(VLOOKUP(C199, '03_FOOD_DATABASE'!$B$5:$L$60, 7, FALSE)*D199/100, IFERROR(VLOOKUP(C199, '04_RECIPE_DATABASE'!$B$5:$M$20, 9, FALSE)*D199, 0)))</f>
        <v/>
      </c>
      <c r="H199" s="117">
        <f>IF(OR(C199="", D199=""), "", IFERROR(VLOOKUP(C199, '03_FOOD_DATABASE'!$B$5:$L$60, 8, FALSE)*D199/100, IFERROR(VLOOKUP(C199, '04_RECIPE_DATABASE'!$B$5:$M$20, 10, FALSE)*D199, 0)))</f>
        <v/>
      </c>
      <c r="I199" s="117">
        <f>IF(OR(C199="", D199=""), "", IFERROR(VLOOKUP(C199, '03_FOOD_DATABASE'!$B$5:$L$60, 9, FALSE)*D199/100, IFERROR(VLOOKUP(C199, '04_RECIPE_DATABASE'!$B$5:$M$20, 11, FALSE)*D199, 0)))</f>
        <v/>
      </c>
      <c r="J199" s="116">
        <f>IF(OR(C199="", D199=""), "", IFERROR(VLOOKUP(C199, '03_FOOD_DATABASE'!$B$5:$L$60, 11, FALSE)*D199/100, IFERROR(VLOOKUP(C199, '04_RECIPE_DATABASE'!$B$5:$M$20, 12, FALSE)*D199, 0)))</f>
        <v/>
      </c>
      <c r="K199" s="115" t="n"/>
      <c r="L199" s="115" t="n"/>
    </row>
    <row r="200">
      <c r="A200" s="115" t="n"/>
      <c r="B200" s="115" t="n"/>
      <c r="C200" s="115" t="n"/>
      <c r="D200" s="115" t="n"/>
      <c r="E200" s="115" t="n"/>
      <c r="F200" s="116">
        <f>IF(OR(C200="", D200=""), "", IFERROR(VLOOKUP(C200, '03_FOOD_DATABASE'!$B$5:$L$60, 6, FALSE)*D200/100, IFERROR(VLOOKUP(C200, '04_RECIPE_DATABASE'!$B$5:$M$20, 8, FALSE)*D200, 0)))</f>
        <v/>
      </c>
      <c r="G200" s="117">
        <f>IF(OR(C200="", D200=""), "", IFERROR(VLOOKUP(C200, '03_FOOD_DATABASE'!$B$5:$L$60, 7, FALSE)*D200/100, IFERROR(VLOOKUP(C200, '04_RECIPE_DATABASE'!$B$5:$M$20, 9, FALSE)*D200, 0)))</f>
        <v/>
      </c>
      <c r="H200" s="117">
        <f>IF(OR(C200="", D200=""), "", IFERROR(VLOOKUP(C200, '03_FOOD_DATABASE'!$B$5:$L$60, 8, FALSE)*D200/100, IFERROR(VLOOKUP(C200, '04_RECIPE_DATABASE'!$B$5:$M$20, 10, FALSE)*D200, 0)))</f>
        <v/>
      </c>
      <c r="I200" s="117">
        <f>IF(OR(C200="", D200=""), "", IFERROR(VLOOKUP(C200, '03_FOOD_DATABASE'!$B$5:$L$60, 9, FALSE)*D200/100, IFERROR(VLOOKUP(C200, '04_RECIPE_DATABASE'!$B$5:$M$20, 11, FALSE)*D200, 0)))</f>
        <v/>
      </c>
      <c r="J200" s="116">
        <f>IF(OR(C200="", D200=""), "", IFERROR(VLOOKUP(C200, '03_FOOD_DATABASE'!$B$5:$L$60, 11, FALSE)*D200/100, IFERROR(VLOOKUP(C200, '04_RECIPE_DATABASE'!$B$5:$M$20, 12, FALSE)*D200, 0)))</f>
        <v/>
      </c>
      <c r="K200" s="115" t="n"/>
      <c r="L200" s="115" t="n"/>
    </row>
    <row r="201">
      <c r="A201" s="115" t="n"/>
      <c r="B201" s="115" t="n"/>
      <c r="C201" s="115" t="n"/>
      <c r="D201" s="115" t="n"/>
      <c r="E201" s="115" t="n"/>
      <c r="F201" s="116">
        <f>IF(OR(C201="", D201=""), "", IFERROR(VLOOKUP(C201, '03_FOOD_DATABASE'!$B$5:$L$60, 6, FALSE)*D201/100, IFERROR(VLOOKUP(C201, '04_RECIPE_DATABASE'!$B$5:$M$20, 8, FALSE)*D201, 0)))</f>
        <v/>
      </c>
      <c r="G201" s="117">
        <f>IF(OR(C201="", D201=""), "", IFERROR(VLOOKUP(C201, '03_FOOD_DATABASE'!$B$5:$L$60, 7, FALSE)*D201/100, IFERROR(VLOOKUP(C201, '04_RECIPE_DATABASE'!$B$5:$M$20, 9, FALSE)*D201, 0)))</f>
        <v/>
      </c>
      <c r="H201" s="117">
        <f>IF(OR(C201="", D201=""), "", IFERROR(VLOOKUP(C201, '03_FOOD_DATABASE'!$B$5:$L$60, 8, FALSE)*D201/100, IFERROR(VLOOKUP(C201, '04_RECIPE_DATABASE'!$B$5:$M$20, 10, FALSE)*D201, 0)))</f>
        <v/>
      </c>
      <c r="I201" s="117">
        <f>IF(OR(C201="", D201=""), "", IFERROR(VLOOKUP(C201, '03_FOOD_DATABASE'!$B$5:$L$60, 9, FALSE)*D201/100, IFERROR(VLOOKUP(C201, '04_RECIPE_DATABASE'!$B$5:$M$20, 11, FALSE)*D201, 0)))</f>
        <v/>
      </c>
      <c r="J201" s="116">
        <f>IF(OR(C201="", D201=""), "", IFERROR(VLOOKUP(C201, '03_FOOD_DATABASE'!$B$5:$L$60, 11, FALSE)*D201/100, IFERROR(VLOOKUP(C201, '04_RECIPE_DATABASE'!$B$5:$M$20, 12, FALSE)*D201, 0)))</f>
        <v/>
      </c>
      <c r="K201" s="115" t="n"/>
      <c r="L201" s="115" t="n"/>
    </row>
    <row r="202">
      <c r="A202" s="115" t="n"/>
      <c r="B202" s="115" t="n"/>
      <c r="C202" s="115" t="n"/>
      <c r="D202" s="115" t="n"/>
      <c r="E202" s="115" t="n"/>
      <c r="F202" s="116">
        <f>IF(OR(C202="", D202=""), "", IFERROR(VLOOKUP(C202, '03_FOOD_DATABASE'!$B$5:$L$60, 6, FALSE)*D202/100, IFERROR(VLOOKUP(C202, '04_RECIPE_DATABASE'!$B$5:$M$20, 8, FALSE)*D202, 0)))</f>
        <v/>
      </c>
      <c r="G202" s="117">
        <f>IF(OR(C202="", D202=""), "", IFERROR(VLOOKUP(C202, '03_FOOD_DATABASE'!$B$5:$L$60, 7, FALSE)*D202/100, IFERROR(VLOOKUP(C202, '04_RECIPE_DATABASE'!$B$5:$M$20, 9, FALSE)*D202, 0)))</f>
        <v/>
      </c>
      <c r="H202" s="117">
        <f>IF(OR(C202="", D202=""), "", IFERROR(VLOOKUP(C202, '03_FOOD_DATABASE'!$B$5:$L$60, 8, FALSE)*D202/100, IFERROR(VLOOKUP(C202, '04_RECIPE_DATABASE'!$B$5:$M$20, 10, FALSE)*D202, 0)))</f>
        <v/>
      </c>
      <c r="I202" s="117">
        <f>IF(OR(C202="", D202=""), "", IFERROR(VLOOKUP(C202, '03_FOOD_DATABASE'!$B$5:$L$60, 9, FALSE)*D202/100, IFERROR(VLOOKUP(C202, '04_RECIPE_DATABASE'!$B$5:$M$20, 11, FALSE)*D202, 0)))</f>
        <v/>
      </c>
      <c r="J202" s="116">
        <f>IF(OR(C202="", D202=""), "", IFERROR(VLOOKUP(C202, '03_FOOD_DATABASE'!$B$5:$L$60, 11, FALSE)*D202/100, IFERROR(VLOOKUP(C202, '04_RECIPE_DATABASE'!$B$5:$M$20, 12, FALSE)*D202, 0)))</f>
        <v/>
      </c>
      <c r="K202" s="115" t="n"/>
      <c r="L202" s="115" t="n"/>
    </row>
    <row r="203">
      <c r="A203" s="115" t="n"/>
      <c r="B203" s="115" t="n"/>
      <c r="C203" s="115" t="n"/>
      <c r="D203" s="115" t="n"/>
      <c r="E203" s="115" t="n"/>
      <c r="F203" s="116">
        <f>IF(OR(C203="", D203=""), "", IFERROR(VLOOKUP(C203, '03_FOOD_DATABASE'!$B$5:$L$60, 6, FALSE)*D203/100, IFERROR(VLOOKUP(C203, '04_RECIPE_DATABASE'!$B$5:$M$20, 8, FALSE)*D203, 0)))</f>
        <v/>
      </c>
      <c r="G203" s="117">
        <f>IF(OR(C203="", D203=""), "", IFERROR(VLOOKUP(C203, '03_FOOD_DATABASE'!$B$5:$L$60, 7, FALSE)*D203/100, IFERROR(VLOOKUP(C203, '04_RECIPE_DATABASE'!$B$5:$M$20, 9, FALSE)*D203, 0)))</f>
        <v/>
      </c>
      <c r="H203" s="117">
        <f>IF(OR(C203="", D203=""), "", IFERROR(VLOOKUP(C203, '03_FOOD_DATABASE'!$B$5:$L$60, 8, FALSE)*D203/100, IFERROR(VLOOKUP(C203, '04_RECIPE_DATABASE'!$B$5:$M$20, 10, FALSE)*D203, 0)))</f>
        <v/>
      </c>
      <c r="I203" s="117">
        <f>IF(OR(C203="", D203=""), "", IFERROR(VLOOKUP(C203, '03_FOOD_DATABASE'!$B$5:$L$60, 9, FALSE)*D203/100, IFERROR(VLOOKUP(C203, '04_RECIPE_DATABASE'!$B$5:$M$20, 11, FALSE)*D203, 0)))</f>
        <v/>
      </c>
      <c r="J203" s="116">
        <f>IF(OR(C203="", D203=""), "", IFERROR(VLOOKUP(C203, '03_FOOD_DATABASE'!$B$5:$L$60, 11, FALSE)*D203/100, IFERROR(VLOOKUP(C203, '04_RECIPE_DATABASE'!$B$5:$M$20, 12, FALSE)*D203, 0)))</f>
        <v/>
      </c>
      <c r="K203" s="115" t="n"/>
      <c r="L203" s="115" t="n"/>
    </row>
    <row r="204">
      <c r="A204" s="115" t="n"/>
      <c r="B204" s="115" t="n"/>
      <c r="C204" s="115" t="n"/>
      <c r="D204" s="115" t="n"/>
      <c r="E204" s="115" t="n"/>
      <c r="F204" s="116">
        <f>IF(OR(C204="", D204=""), "", IFERROR(VLOOKUP(C204, '03_FOOD_DATABASE'!$B$5:$L$60, 6, FALSE)*D204/100, IFERROR(VLOOKUP(C204, '04_RECIPE_DATABASE'!$B$5:$M$20, 8, FALSE)*D204, 0)))</f>
        <v/>
      </c>
      <c r="G204" s="117">
        <f>IF(OR(C204="", D204=""), "", IFERROR(VLOOKUP(C204, '03_FOOD_DATABASE'!$B$5:$L$60, 7, FALSE)*D204/100, IFERROR(VLOOKUP(C204, '04_RECIPE_DATABASE'!$B$5:$M$20, 9, FALSE)*D204, 0)))</f>
        <v/>
      </c>
      <c r="H204" s="117">
        <f>IF(OR(C204="", D204=""), "", IFERROR(VLOOKUP(C204, '03_FOOD_DATABASE'!$B$5:$L$60, 8, FALSE)*D204/100, IFERROR(VLOOKUP(C204, '04_RECIPE_DATABASE'!$B$5:$M$20, 10, FALSE)*D204, 0)))</f>
        <v/>
      </c>
      <c r="I204" s="117">
        <f>IF(OR(C204="", D204=""), "", IFERROR(VLOOKUP(C204, '03_FOOD_DATABASE'!$B$5:$L$60, 9, FALSE)*D204/100, IFERROR(VLOOKUP(C204, '04_RECIPE_DATABASE'!$B$5:$M$20, 11, FALSE)*D204, 0)))</f>
        <v/>
      </c>
      <c r="J204" s="116">
        <f>IF(OR(C204="", D204=""), "", IFERROR(VLOOKUP(C204, '03_FOOD_DATABASE'!$B$5:$L$60, 11, FALSE)*D204/100, IFERROR(VLOOKUP(C204, '04_RECIPE_DATABASE'!$B$5:$M$20, 12, FALSE)*D204, 0)))</f>
        <v/>
      </c>
      <c r="K204" s="115" t="n"/>
      <c r="L204" s="115" t="n"/>
    </row>
    <row r="205">
      <c r="A205" s="115" t="n"/>
      <c r="B205" s="115" t="n"/>
      <c r="C205" s="115" t="n"/>
      <c r="D205" s="115" t="n"/>
      <c r="E205" s="115" t="n"/>
      <c r="F205" s="116">
        <f>IF(OR(C205="", D205=""), "", IFERROR(VLOOKUP(C205, '03_FOOD_DATABASE'!$B$5:$L$60, 6, FALSE)*D205/100, IFERROR(VLOOKUP(C205, '04_RECIPE_DATABASE'!$B$5:$M$20, 8, FALSE)*D205, 0)))</f>
        <v/>
      </c>
      <c r="G205" s="117">
        <f>IF(OR(C205="", D205=""), "", IFERROR(VLOOKUP(C205, '03_FOOD_DATABASE'!$B$5:$L$60, 7, FALSE)*D205/100, IFERROR(VLOOKUP(C205, '04_RECIPE_DATABASE'!$B$5:$M$20, 9, FALSE)*D205, 0)))</f>
        <v/>
      </c>
      <c r="H205" s="117">
        <f>IF(OR(C205="", D205=""), "", IFERROR(VLOOKUP(C205, '03_FOOD_DATABASE'!$B$5:$L$60, 8, FALSE)*D205/100, IFERROR(VLOOKUP(C205, '04_RECIPE_DATABASE'!$B$5:$M$20, 10, FALSE)*D205, 0)))</f>
        <v/>
      </c>
      <c r="I205" s="117">
        <f>IF(OR(C205="", D205=""), "", IFERROR(VLOOKUP(C205, '03_FOOD_DATABASE'!$B$5:$L$60, 9, FALSE)*D205/100, IFERROR(VLOOKUP(C205, '04_RECIPE_DATABASE'!$B$5:$M$20, 11, FALSE)*D205, 0)))</f>
        <v/>
      </c>
      <c r="J205" s="116">
        <f>IF(OR(C205="", D205=""), "", IFERROR(VLOOKUP(C205, '03_FOOD_DATABASE'!$B$5:$L$60, 11, FALSE)*D205/100, IFERROR(VLOOKUP(C205, '04_RECIPE_DATABASE'!$B$5:$M$20, 12, FALSE)*D205, 0)))</f>
        <v/>
      </c>
      <c r="K205" s="115" t="n"/>
      <c r="L205" s="115" t="n"/>
    </row>
    <row r="206">
      <c r="A206" s="115" t="n"/>
      <c r="B206" s="115" t="n"/>
      <c r="C206" s="115" t="n"/>
      <c r="D206" s="115" t="n"/>
      <c r="E206" s="115" t="n"/>
      <c r="F206" s="116">
        <f>IF(OR(C206="", D206=""), "", IFERROR(VLOOKUP(C206, '03_FOOD_DATABASE'!$B$5:$L$60, 6, FALSE)*D206/100, IFERROR(VLOOKUP(C206, '04_RECIPE_DATABASE'!$B$5:$M$20, 8, FALSE)*D206, 0)))</f>
        <v/>
      </c>
      <c r="G206" s="117">
        <f>IF(OR(C206="", D206=""), "", IFERROR(VLOOKUP(C206, '03_FOOD_DATABASE'!$B$5:$L$60, 7, FALSE)*D206/100, IFERROR(VLOOKUP(C206, '04_RECIPE_DATABASE'!$B$5:$M$20, 9, FALSE)*D206, 0)))</f>
        <v/>
      </c>
      <c r="H206" s="117">
        <f>IF(OR(C206="", D206=""), "", IFERROR(VLOOKUP(C206, '03_FOOD_DATABASE'!$B$5:$L$60, 8, FALSE)*D206/100, IFERROR(VLOOKUP(C206, '04_RECIPE_DATABASE'!$B$5:$M$20, 10, FALSE)*D206, 0)))</f>
        <v/>
      </c>
      <c r="I206" s="117">
        <f>IF(OR(C206="", D206=""), "", IFERROR(VLOOKUP(C206, '03_FOOD_DATABASE'!$B$5:$L$60, 9, FALSE)*D206/100, IFERROR(VLOOKUP(C206, '04_RECIPE_DATABASE'!$B$5:$M$20, 11, FALSE)*D206, 0)))</f>
        <v/>
      </c>
      <c r="J206" s="116">
        <f>IF(OR(C206="", D206=""), "", IFERROR(VLOOKUP(C206, '03_FOOD_DATABASE'!$B$5:$L$60, 11, FALSE)*D206/100, IFERROR(VLOOKUP(C206, '04_RECIPE_DATABASE'!$B$5:$M$20, 12, FALSE)*D206, 0)))</f>
        <v/>
      </c>
      <c r="K206" s="115" t="n"/>
      <c r="L206" s="115" t="n"/>
    </row>
    <row r="207">
      <c r="A207" s="115" t="n"/>
      <c r="B207" s="115" t="n"/>
      <c r="C207" s="115" t="n"/>
      <c r="D207" s="115" t="n"/>
      <c r="E207" s="115" t="n"/>
      <c r="F207" s="116">
        <f>IF(OR(C207="", D207=""), "", IFERROR(VLOOKUP(C207, '03_FOOD_DATABASE'!$B$5:$L$60, 6, FALSE)*D207/100, IFERROR(VLOOKUP(C207, '04_RECIPE_DATABASE'!$B$5:$M$20, 8, FALSE)*D207, 0)))</f>
        <v/>
      </c>
      <c r="G207" s="117">
        <f>IF(OR(C207="", D207=""), "", IFERROR(VLOOKUP(C207, '03_FOOD_DATABASE'!$B$5:$L$60, 7, FALSE)*D207/100, IFERROR(VLOOKUP(C207, '04_RECIPE_DATABASE'!$B$5:$M$20, 9, FALSE)*D207, 0)))</f>
        <v/>
      </c>
      <c r="H207" s="117">
        <f>IF(OR(C207="", D207=""), "", IFERROR(VLOOKUP(C207, '03_FOOD_DATABASE'!$B$5:$L$60, 8, FALSE)*D207/100, IFERROR(VLOOKUP(C207, '04_RECIPE_DATABASE'!$B$5:$M$20, 10, FALSE)*D207, 0)))</f>
        <v/>
      </c>
      <c r="I207" s="117">
        <f>IF(OR(C207="", D207=""), "", IFERROR(VLOOKUP(C207, '03_FOOD_DATABASE'!$B$5:$L$60, 9, FALSE)*D207/100, IFERROR(VLOOKUP(C207, '04_RECIPE_DATABASE'!$B$5:$M$20, 11, FALSE)*D207, 0)))</f>
        <v/>
      </c>
      <c r="J207" s="116">
        <f>IF(OR(C207="", D207=""), "", IFERROR(VLOOKUP(C207, '03_FOOD_DATABASE'!$B$5:$L$60, 11, FALSE)*D207/100, IFERROR(VLOOKUP(C207, '04_RECIPE_DATABASE'!$B$5:$M$20, 12, FALSE)*D207, 0)))</f>
        <v/>
      </c>
      <c r="K207" s="115" t="n"/>
      <c r="L207" s="115" t="n"/>
    </row>
    <row r="208">
      <c r="A208" s="115" t="n"/>
      <c r="B208" s="115" t="n"/>
      <c r="C208" s="115" t="n"/>
      <c r="D208" s="115" t="n"/>
      <c r="E208" s="115" t="n"/>
      <c r="F208" s="116">
        <f>IF(OR(C208="", D208=""), "", IFERROR(VLOOKUP(C208, '03_FOOD_DATABASE'!$B$5:$L$60, 6, FALSE)*D208/100, IFERROR(VLOOKUP(C208, '04_RECIPE_DATABASE'!$B$5:$M$20, 8, FALSE)*D208, 0)))</f>
        <v/>
      </c>
      <c r="G208" s="117">
        <f>IF(OR(C208="", D208=""), "", IFERROR(VLOOKUP(C208, '03_FOOD_DATABASE'!$B$5:$L$60, 7, FALSE)*D208/100, IFERROR(VLOOKUP(C208, '04_RECIPE_DATABASE'!$B$5:$M$20, 9, FALSE)*D208, 0)))</f>
        <v/>
      </c>
      <c r="H208" s="117">
        <f>IF(OR(C208="", D208=""), "", IFERROR(VLOOKUP(C208, '03_FOOD_DATABASE'!$B$5:$L$60, 8, FALSE)*D208/100, IFERROR(VLOOKUP(C208, '04_RECIPE_DATABASE'!$B$5:$M$20, 10, FALSE)*D208, 0)))</f>
        <v/>
      </c>
      <c r="I208" s="117">
        <f>IF(OR(C208="", D208=""), "", IFERROR(VLOOKUP(C208, '03_FOOD_DATABASE'!$B$5:$L$60, 9, FALSE)*D208/100, IFERROR(VLOOKUP(C208, '04_RECIPE_DATABASE'!$B$5:$M$20, 11, FALSE)*D208, 0)))</f>
        <v/>
      </c>
      <c r="J208" s="116">
        <f>IF(OR(C208="", D208=""), "", IFERROR(VLOOKUP(C208, '03_FOOD_DATABASE'!$B$5:$L$60, 11, FALSE)*D208/100, IFERROR(VLOOKUP(C208, '04_RECIPE_DATABASE'!$B$5:$M$20, 12, FALSE)*D208, 0)))</f>
        <v/>
      </c>
      <c r="K208" s="115" t="n"/>
      <c r="L208" s="115" t="n"/>
    </row>
    <row r="209">
      <c r="A209" s="115" t="n"/>
      <c r="B209" s="115" t="n"/>
      <c r="C209" s="115" t="n"/>
      <c r="D209" s="115" t="n"/>
      <c r="E209" s="115" t="n"/>
      <c r="F209" s="116">
        <f>IF(OR(C209="", D209=""), "", IFERROR(VLOOKUP(C209, '03_FOOD_DATABASE'!$B$5:$L$60, 6, FALSE)*D209/100, IFERROR(VLOOKUP(C209, '04_RECIPE_DATABASE'!$B$5:$M$20, 8, FALSE)*D209, 0)))</f>
        <v/>
      </c>
      <c r="G209" s="117">
        <f>IF(OR(C209="", D209=""), "", IFERROR(VLOOKUP(C209, '03_FOOD_DATABASE'!$B$5:$L$60, 7, FALSE)*D209/100, IFERROR(VLOOKUP(C209, '04_RECIPE_DATABASE'!$B$5:$M$20, 9, FALSE)*D209, 0)))</f>
        <v/>
      </c>
      <c r="H209" s="117">
        <f>IF(OR(C209="", D209=""), "", IFERROR(VLOOKUP(C209, '03_FOOD_DATABASE'!$B$5:$L$60, 8, FALSE)*D209/100, IFERROR(VLOOKUP(C209, '04_RECIPE_DATABASE'!$B$5:$M$20, 10, FALSE)*D209, 0)))</f>
        <v/>
      </c>
      <c r="I209" s="117">
        <f>IF(OR(C209="", D209=""), "", IFERROR(VLOOKUP(C209, '03_FOOD_DATABASE'!$B$5:$L$60, 9, FALSE)*D209/100, IFERROR(VLOOKUP(C209, '04_RECIPE_DATABASE'!$B$5:$M$20, 11, FALSE)*D209, 0)))</f>
        <v/>
      </c>
      <c r="J209" s="116">
        <f>IF(OR(C209="", D209=""), "", IFERROR(VLOOKUP(C209, '03_FOOD_DATABASE'!$B$5:$L$60, 11, FALSE)*D209/100, IFERROR(VLOOKUP(C209, '04_RECIPE_DATABASE'!$B$5:$M$20, 12, FALSE)*D209, 0)))</f>
        <v/>
      </c>
      <c r="K209" s="115" t="n"/>
      <c r="L209" s="115" t="n"/>
    </row>
    <row r="210">
      <c r="A210" s="115" t="n"/>
      <c r="B210" s="115" t="n"/>
      <c r="C210" s="115" t="n"/>
      <c r="D210" s="115" t="n"/>
      <c r="E210" s="115" t="n"/>
      <c r="F210" s="116">
        <f>IF(OR(C210="", D210=""), "", IFERROR(VLOOKUP(C210, '03_FOOD_DATABASE'!$B$5:$L$60, 6, FALSE)*D210/100, IFERROR(VLOOKUP(C210, '04_RECIPE_DATABASE'!$B$5:$M$20, 8, FALSE)*D210, 0)))</f>
        <v/>
      </c>
      <c r="G210" s="117">
        <f>IF(OR(C210="", D210=""), "", IFERROR(VLOOKUP(C210, '03_FOOD_DATABASE'!$B$5:$L$60, 7, FALSE)*D210/100, IFERROR(VLOOKUP(C210, '04_RECIPE_DATABASE'!$B$5:$M$20, 9, FALSE)*D210, 0)))</f>
        <v/>
      </c>
      <c r="H210" s="117">
        <f>IF(OR(C210="", D210=""), "", IFERROR(VLOOKUP(C210, '03_FOOD_DATABASE'!$B$5:$L$60, 8, FALSE)*D210/100, IFERROR(VLOOKUP(C210, '04_RECIPE_DATABASE'!$B$5:$M$20, 10, FALSE)*D210, 0)))</f>
        <v/>
      </c>
      <c r="I210" s="117">
        <f>IF(OR(C210="", D210=""), "", IFERROR(VLOOKUP(C210, '03_FOOD_DATABASE'!$B$5:$L$60, 9, FALSE)*D210/100, IFERROR(VLOOKUP(C210, '04_RECIPE_DATABASE'!$B$5:$M$20, 11, FALSE)*D210, 0)))</f>
        <v/>
      </c>
      <c r="J210" s="116">
        <f>IF(OR(C210="", D210=""), "", IFERROR(VLOOKUP(C210, '03_FOOD_DATABASE'!$B$5:$L$60, 11, FALSE)*D210/100, IFERROR(VLOOKUP(C210, '04_RECIPE_DATABASE'!$B$5:$M$20, 12, FALSE)*D210, 0)))</f>
        <v/>
      </c>
      <c r="K210" s="115" t="n"/>
      <c r="L210" s="115" t="n"/>
    </row>
    <row r="211">
      <c r="A211" s="115" t="n"/>
      <c r="B211" s="115" t="n"/>
      <c r="C211" s="115" t="n"/>
      <c r="D211" s="115" t="n"/>
      <c r="E211" s="115" t="n"/>
      <c r="F211" s="116">
        <f>IF(OR(C211="", D211=""), "", IFERROR(VLOOKUP(C211, '03_FOOD_DATABASE'!$B$5:$L$60, 6, FALSE)*D211/100, IFERROR(VLOOKUP(C211, '04_RECIPE_DATABASE'!$B$5:$M$20, 8, FALSE)*D211, 0)))</f>
        <v/>
      </c>
      <c r="G211" s="117">
        <f>IF(OR(C211="", D211=""), "", IFERROR(VLOOKUP(C211, '03_FOOD_DATABASE'!$B$5:$L$60, 7, FALSE)*D211/100, IFERROR(VLOOKUP(C211, '04_RECIPE_DATABASE'!$B$5:$M$20, 9, FALSE)*D211, 0)))</f>
        <v/>
      </c>
      <c r="H211" s="117">
        <f>IF(OR(C211="", D211=""), "", IFERROR(VLOOKUP(C211, '03_FOOD_DATABASE'!$B$5:$L$60, 8, FALSE)*D211/100, IFERROR(VLOOKUP(C211, '04_RECIPE_DATABASE'!$B$5:$M$20, 10, FALSE)*D211, 0)))</f>
        <v/>
      </c>
      <c r="I211" s="117">
        <f>IF(OR(C211="", D211=""), "", IFERROR(VLOOKUP(C211, '03_FOOD_DATABASE'!$B$5:$L$60, 9, FALSE)*D211/100, IFERROR(VLOOKUP(C211, '04_RECIPE_DATABASE'!$B$5:$M$20, 11, FALSE)*D211, 0)))</f>
        <v/>
      </c>
      <c r="J211" s="116">
        <f>IF(OR(C211="", D211=""), "", IFERROR(VLOOKUP(C211, '03_FOOD_DATABASE'!$B$5:$L$60, 11, FALSE)*D211/100, IFERROR(VLOOKUP(C211, '04_RECIPE_DATABASE'!$B$5:$M$20, 12, FALSE)*D211, 0)))</f>
        <v/>
      </c>
      <c r="K211" s="115" t="n"/>
      <c r="L211" s="115" t="n"/>
    </row>
    <row r="212">
      <c r="A212" s="115" t="n"/>
      <c r="B212" s="115" t="n"/>
      <c r="C212" s="115" t="n"/>
      <c r="D212" s="115" t="n"/>
      <c r="E212" s="115" t="n"/>
      <c r="F212" s="116">
        <f>IF(OR(C212="", D212=""), "", IFERROR(VLOOKUP(C212, '03_FOOD_DATABASE'!$B$5:$L$60, 6, FALSE)*D212/100, IFERROR(VLOOKUP(C212, '04_RECIPE_DATABASE'!$B$5:$M$20, 8, FALSE)*D212, 0)))</f>
        <v/>
      </c>
      <c r="G212" s="117">
        <f>IF(OR(C212="", D212=""), "", IFERROR(VLOOKUP(C212, '03_FOOD_DATABASE'!$B$5:$L$60, 7, FALSE)*D212/100, IFERROR(VLOOKUP(C212, '04_RECIPE_DATABASE'!$B$5:$M$20, 9, FALSE)*D212, 0)))</f>
        <v/>
      </c>
      <c r="H212" s="117">
        <f>IF(OR(C212="", D212=""), "", IFERROR(VLOOKUP(C212, '03_FOOD_DATABASE'!$B$5:$L$60, 8, FALSE)*D212/100, IFERROR(VLOOKUP(C212, '04_RECIPE_DATABASE'!$B$5:$M$20, 10, FALSE)*D212, 0)))</f>
        <v/>
      </c>
      <c r="I212" s="117">
        <f>IF(OR(C212="", D212=""), "", IFERROR(VLOOKUP(C212, '03_FOOD_DATABASE'!$B$5:$L$60, 9, FALSE)*D212/100, IFERROR(VLOOKUP(C212, '04_RECIPE_DATABASE'!$B$5:$M$20, 11, FALSE)*D212, 0)))</f>
        <v/>
      </c>
      <c r="J212" s="116">
        <f>IF(OR(C212="", D212=""), "", IFERROR(VLOOKUP(C212, '03_FOOD_DATABASE'!$B$5:$L$60, 11, FALSE)*D212/100, IFERROR(VLOOKUP(C212, '04_RECIPE_DATABASE'!$B$5:$M$20, 12, FALSE)*D212, 0)))</f>
        <v/>
      </c>
      <c r="K212" s="115" t="n"/>
      <c r="L212" s="115" t="n"/>
    </row>
    <row r="213">
      <c r="A213" s="115" t="n"/>
      <c r="B213" s="115" t="n"/>
      <c r="C213" s="115" t="n"/>
      <c r="D213" s="115" t="n"/>
      <c r="E213" s="115" t="n"/>
      <c r="F213" s="116">
        <f>IF(OR(C213="", D213=""), "", IFERROR(VLOOKUP(C213, '03_FOOD_DATABASE'!$B$5:$L$60, 6, FALSE)*D213/100, IFERROR(VLOOKUP(C213, '04_RECIPE_DATABASE'!$B$5:$M$20, 8, FALSE)*D213, 0)))</f>
        <v/>
      </c>
      <c r="G213" s="117">
        <f>IF(OR(C213="", D213=""), "", IFERROR(VLOOKUP(C213, '03_FOOD_DATABASE'!$B$5:$L$60, 7, FALSE)*D213/100, IFERROR(VLOOKUP(C213, '04_RECIPE_DATABASE'!$B$5:$M$20, 9, FALSE)*D213, 0)))</f>
        <v/>
      </c>
      <c r="H213" s="117">
        <f>IF(OR(C213="", D213=""), "", IFERROR(VLOOKUP(C213, '03_FOOD_DATABASE'!$B$5:$L$60, 8, FALSE)*D213/100, IFERROR(VLOOKUP(C213, '04_RECIPE_DATABASE'!$B$5:$M$20, 10, FALSE)*D213, 0)))</f>
        <v/>
      </c>
      <c r="I213" s="117">
        <f>IF(OR(C213="", D213=""), "", IFERROR(VLOOKUP(C213, '03_FOOD_DATABASE'!$B$5:$L$60, 9, FALSE)*D213/100, IFERROR(VLOOKUP(C213, '04_RECIPE_DATABASE'!$B$5:$M$20, 11, FALSE)*D213, 0)))</f>
        <v/>
      </c>
      <c r="J213" s="116">
        <f>IF(OR(C213="", D213=""), "", IFERROR(VLOOKUP(C213, '03_FOOD_DATABASE'!$B$5:$L$60, 11, FALSE)*D213/100, IFERROR(VLOOKUP(C213, '04_RECIPE_DATABASE'!$B$5:$M$20, 12, FALSE)*D213, 0)))</f>
        <v/>
      </c>
      <c r="K213" s="115" t="n"/>
      <c r="L213" s="115" t="n"/>
    </row>
    <row r="214">
      <c r="A214" s="115" t="n"/>
      <c r="B214" s="115" t="n"/>
      <c r="C214" s="115" t="n"/>
      <c r="D214" s="115" t="n"/>
      <c r="E214" s="115" t="n"/>
      <c r="F214" s="116">
        <f>IF(OR(C214="", D214=""), "", IFERROR(VLOOKUP(C214, '03_FOOD_DATABASE'!$B$5:$L$60, 6, FALSE)*D214/100, IFERROR(VLOOKUP(C214, '04_RECIPE_DATABASE'!$B$5:$M$20, 8, FALSE)*D214, 0)))</f>
        <v/>
      </c>
      <c r="G214" s="117">
        <f>IF(OR(C214="", D214=""), "", IFERROR(VLOOKUP(C214, '03_FOOD_DATABASE'!$B$5:$L$60, 7, FALSE)*D214/100, IFERROR(VLOOKUP(C214, '04_RECIPE_DATABASE'!$B$5:$M$20, 9, FALSE)*D214, 0)))</f>
        <v/>
      </c>
      <c r="H214" s="117">
        <f>IF(OR(C214="", D214=""), "", IFERROR(VLOOKUP(C214, '03_FOOD_DATABASE'!$B$5:$L$60, 8, FALSE)*D214/100, IFERROR(VLOOKUP(C214, '04_RECIPE_DATABASE'!$B$5:$M$20, 10, FALSE)*D214, 0)))</f>
        <v/>
      </c>
      <c r="I214" s="117">
        <f>IF(OR(C214="", D214=""), "", IFERROR(VLOOKUP(C214, '03_FOOD_DATABASE'!$B$5:$L$60, 9, FALSE)*D214/100, IFERROR(VLOOKUP(C214, '04_RECIPE_DATABASE'!$B$5:$M$20, 11, FALSE)*D214, 0)))</f>
        <v/>
      </c>
      <c r="J214" s="116">
        <f>IF(OR(C214="", D214=""), "", IFERROR(VLOOKUP(C214, '03_FOOD_DATABASE'!$B$5:$L$60, 11, FALSE)*D214/100, IFERROR(VLOOKUP(C214, '04_RECIPE_DATABASE'!$B$5:$M$20, 12, FALSE)*D214, 0)))</f>
        <v/>
      </c>
      <c r="K214" s="115" t="n"/>
      <c r="L214" s="115" t="n"/>
    </row>
    <row r="215">
      <c r="A215" s="115" t="n"/>
      <c r="B215" s="115" t="n"/>
      <c r="C215" s="115" t="n"/>
      <c r="D215" s="115" t="n"/>
      <c r="E215" s="115" t="n"/>
      <c r="F215" s="116">
        <f>IF(OR(C215="", D215=""), "", IFERROR(VLOOKUP(C215, '03_FOOD_DATABASE'!$B$5:$L$60, 6, FALSE)*D215/100, IFERROR(VLOOKUP(C215, '04_RECIPE_DATABASE'!$B$5:$M$20, 8, FALSE)*D215, 0)))</f>
        <v/>
      </c>
      <c r="G215" s="117">
        <f>IF(OR(C215="", D215=""), "", IFERROR(VLOOKUP(C215, '03_FOOD_DATABASE'!$B$5:$L$60, 7, FALSE)*D215/100, IFERROR(VLOOKUP(C215, '04_RECIPE_DATABASE'!$B$5:$M$20, 9, FALSE)*D215, 0)))</f>
        <v/>
      </c>
      <c r="H215" s="117">
        <f>IF(OR(C215="", D215=""), "", IFERROR(VLOOKUP(C215, '03_FOOD_DATABASE'!$B$5:$L$60, 8, FALSE)*D215/100, IFERROR(VLOOKUP(C215, '04_RECIPE_DATABASE'!$B$5:$M$20, 10, FALSE)*D215, 0)))</f>
        <v/>
      </c>
      <c r="I215" s="117">
        <f>IF(OR(C215="", D215=""), "", IFERROR(VLOOKUP(C215, '03_FOOD_DATABASE'!$B$5:$L$60, 9, FALSE)*D215/100, IFERROR(VLOOKUP(C215, '04_RECIPE_DATABASE'!$B$5:$M$20, 11, FALSE)*D215, 0)))</f>
        <v/>
      </c>
      <c r="J215" s="116">
        <f>IF(OR(C215="", D215=""), "", IFERROR(VLOOKUP(C215, '03_FOOD_DATABASE'!$B$5:$L$60, 11, FALSE)*D215/100, IFERROR(VLOOKUP(C215, '04_RECIPE_DATABASE'!$B$5:$M$20, 12, FALSE)*D215, 0)))</f>
        <v/>
      </c>
      <c r="K215" s="115" t="n"/>
      <c r="L215" s="115" t="n"/>
    </row>
    <row r="216">
      <c r="A216" s="115" t="n"/>
      <c r="B216" s="115" t="n"/>
      <c r="C216" s="115" t="n"/>
      <c r="D216" s="115" t="n"/>
      <c r="E216" s="115" t="n"/>
      <c r="F216" s="116">
        <f>IF(OR(C216="", D216=""), "", IFERROR(VLOOKUP(C216, '03_FOOD_DATABASE'!$B$5:$L$60, 6, FALSE)*D216/100, IFERROR(VLOOKUP(C216, '04_RECIPE_DATABASE'!$B$5:$M$20, 8, FALSE)*D216, 0)))</f>
        <v/>
      </c>
      <c r="G216" s="117">
        <f>IF(OR(C216="", D216=""), "", IFERROR(VLOOKUP(C216, '03_FOOD_DATABASE'!$B$5:$L$60, 7, FALSE)*D216/100, IFERROR(VLOOKUP(C216, '04_RECIPE_DATABASE'!$B$5:$M$20, 9, FALSE)*D216, 0)))</f>
        <v/>
      </c>
      <c r="H216" s="117">
        <f>IF(OR(C216="", D216=""), "", IFERROR(VLOOKUP(C216, '03_FOOD_DATABASE'!$B$5:$L$60, 8, FALSE)*D216/100, IFERROR(VLOOKUP(C216, '04_RECIPE_DATABASE'!$B$5:$M$20, 10, FALSE)*D216, 0)))</f>
        <v/>
      </c>
      <c r="I216" s="117">
        <f>IF(OR(C216="", D216=""), "", IFERROR(VLOOKUP(C216, '03_FOOD_DATABASE'!$B$5:$L$60, 9, FALSE)*D216/100, IFERROR(VLOOKUP(C216, '04_RECIPE_DATABASE'!$B$5:$M$20, 11, FALSE)*D216, 0)))</f>
        <v/>
      </c>
      <c r="J216" s="116">
        <f>IF(OR(C216="", D216=""), "", IFERROR(VLOOKUP(C216, '03_FOOD_DATABASE'!$B$5:$L$60, 11, FALSE)*D216/100, IFERROR(VLOOKUP(C216, '04_RECIPE_DATABASE'!$B$5:$M$20, 12, FALSE)*D216, 0)))</f>
        <v/>
      </c>
      <c r="K216" s="115" t="n"/>
      <c r="L216" s="115" t="n"/>
    </row>
    <row r="217">
      <c r="A217" s="115" t="n"/>
      <c r="B217" s="115" t="n"/>
      <c r="C217" s="115" t="n"/>
      <c r="D217" s="115" t="n"/>
      <c r="E217" s="115" t="n"/>
      <c r="F217" s="116">
        <f>IF(OR(C217="", D217=""), "", IFERROR(VLOOKUP(C217, '03_FOOD_DATABASE'!$B$5:$L$60, 6, FALSE)*D217/100, IFERROR(VLOOKUP(C217, '04_RECIPE_DATABASE'!$B$5:$M$20, 8, FALSE)*D217, 0)))</f>
        <v/>
      </c>
      <c r="G217" s="117">
        <f>IF(OR(C217="", D217=""), "", IFERROR(VLOOKUP(C217, '03_FOOD_DATABASE'!$B$5:$L$60, 7, FALSE)*D217/100, IFERROR(VLOOKUP(C217, '04_RECIPE_DATABASE'!$B$5:$M$20, 9, FALSE)*D217, 0)))</f>
        <v/>
      </c>
      <c r="H217" s="117">
        <f>IF(OR(C217="", D217=""), "", IFERROR(VLOOKUP(C217, '03_FOOD_DATABASE'!$B$5:$L$60, 8, FALSE)*D217/100, IFERROR(VLOOKUP(C217, '04_RECIPE_DATABASE'!$B$5:$M$20, 10, FALSE)*D217, 0)))</f>
        <v/>
      </c>
      <c r="I217" s="117">
        <f>IF(OR(C217="", D217=""), "", IFERROR(VLOOKUP(C217, '03_FOOD_DATABASE'!$B$5:$L$60, 9, FALSE)*D217/100, IFERROR(VLOOKUP(C217, '04_RECIPE_DATABASE'!$B$5:$M$20, 11, FALSE)*D217, 0)))</f>
        <v/>
      </c>
      <c r="J217" s="116">
        <f>IF(OR(C217="", D217=""), "", IFERROR(VLOOKUP(C217, '03_FOOD_DATABASE'!$B$5:$L$60, 11, FALSE)*D217/100, IFERROR(VLOOKUP(C217, '04_RECIPE_DATABASE'!$B$5:$M$20, 12, FALSE)*D217, 0)))</f>
        <v/>
      </c>
      <c r="K217" s="115" t="n"/>
      <c r="L217" s="115" t="n"/>
    </row>
    <row r="218">
      <c r="A218" s="115" t="n"/>
      <c r="B218" s="115" t="n"/>
      <c r="C218" s="115" t="n"/>
      <c r="D218" s="115" t="n"/>
      <c r="E218" s="115" t="n"/>
      <c r="F218" s="116">
        <f>IF(OR(C218="", D218=""), "", IFERROR(VLOOKUP(C218, '03_FOOD_DATABASE'!$B$5:$L$60, 6, FALSE)*D218/100, IFERROR(VLOOKUP(C218, '04_RECIPE_DATABASE'!$B$5:$M$20, 8, FALSE)*D218, 0)))</f>
        <v/>
      </c>
      <c r="G218" s="117">
        <f>IF(OR(C218="", D218=""), "", IFERROR(VLOOKUP(C218, '03_FOOD_DATABASE'!$B$5:$L$60, 7, FALSE)*D218/100, IFERROR(VLOOKUP(C218, '04_RECIPE_DATABASE'!$B$5:$M$20, 9, FALSE)*D218, 0)))</f>
        <v/>
      </c>
      <c r="H218" s="117">
        <f>IF(OR(C218="", D218=""), "", IFERROR(VLOOKUP(C218, '03_FOOD_DATABASE'!$B$5:$L$60, 8, FALSE)*D218/100, IFERROR(VLOOKUP(C218, '04_RECIPE_DATABASE'!$B$5:$M$20, 10, FALSE)*D218, 0)))</f>
        <v/>
      </c>
      <c r="I218" s="117">
        <f>IF(OR(C218="", D218=""), "", IFERROR(VLOOKUP(C218, '03_FOOD_DATABASE'!$B$5:$L$60, 9, FALSE)*D218/100, IFERROR(VLOOKUP(C218, '04_RECIPE_DATABASE'!$B$5:$M$20, 11, FALSE)*D218, 0)))</f>
        <v/>
      </c>
      <c r="J218" s="116">
        <f>IF(OR(C218="", D218=""), "", IFERROR(VLOOKUP(C218, '03_FOOD_DATABASE'!$B$5:$L$60, 11, FALSE)*D218/100, IFERROR(VLOOKUP(C218, '04_RECIPE_DATABASE'!$B$5:$M$20, 12, FALSE)*D218, 0)))</f>
        <v/>
      </c>
      <c r="K218" s="115" t="n"/>
      <c r="L218" s="115" t="n"/>
    </row>
    <row r="219">
      <c r="A219" s="115" t="n"/>
      <c r="B219" s="115" t="n"/>
      <c r="C219" s="115" t="n"/>
      <c r="D219" s="115" t="n"/>
      <c r="E219" s="115" t="n"/>
      <c r="F219" s="116">
        <f>IF(OR(C219="", D219=""), "", IFERROR(VLOOKUP(C219, '03_FOOD_DATABASE'!$B$5:$L$60, 6, FALSE)*D219/100, IFERROR(VLOOKUP(C219, '04_RECIPE_DATABASE'!$B$5:$M$20, 8, FALSE)*D219, 0)))</f>
        <v/>
      </c>
      <c r="G219" s="117">
        <f>IF(OR(C219="", D219=""), "", IFERROR(VLOOKUP(C219, '03_FOOD_DATABASE'!$B$5:$L$60, 7, FALSE)*D219/100, IFERROR(VLOOKUP(C219, '04_RECIPE_DATABASE'!$B$5:$M$20, 9, FALSE)*D219, 0)))</f>
        <v/>
      </c>
      <c r="H219" s="117">
        <f>IF(OR(C219="", D219=""), "", IFERROR(VLOOKUP(C219, '03_FOOD_DATABASE'!$B$5:$L$60, 8, FALSE)*D219/100, IFERROR(VLOOKUP(C219, '04_RECIPE_DATABASE'!$B$5:$M$20, 10, FALSE)*D219, 0)))</f>
        <v/>
      </c>
      <c r="I219" s="117">
        <f>IF(OR(C219="", D219=""), "", IFERROR(VLOOKUP(C219, '03_FOOD_DATABASE'!$B$5:$L$60, 9, FALSE)*D219/100, IFERROR(VLOOKUP(C219, '04_RECIPE_DATABASE'!$B$5:$M$20, 11, FALSE)*D219, 0)))</f>
        <v/>
      </c>
      <c r="J219" s="116">
        <f>IF(OR(C219="", D219=""), "", IFERROR(VLOOKUP(C219, '03_FOOD_DATABASE'!$B$5:$L$60, 11, FALSE)*D219/100, IFERROR(VLOOKUP(C219, '04_RECIPE_DATABASE'!$B$5:$M$20, 12, FALSE)*D219, 0)))</f>
        <v/>
      </c>
      <c r="K219" s="115" t="n"/>
      <c r="L219" s="115" t="n"/>
    </row>
    <row r="220">
      <c r="A220" s="115" t="n"/>
      <c r="B220" s="115" t="n"/>
      <c r="C220" s="115" t="n"/>
      <c r="D220" s="115" t="n"/>
      <c r="E220" s="115" t="n"/>
      <c r="F220" s="116">
        <f>IF(OR(C220="", D220=""), "", IFERROR(VLOOKUP(C220, '03_FOOD_DATABASE'!$B$5:$L$60, 6, FALSE)*D220/100, IFERROR(VLOOKUP(C220, '04_RECIPE_DATABASE'!$B$5:$M$20, 8, FALSE)*D220, 0)))</f>
        <v/>
      </c>
      <c r="G220" s="117">
        <f>IF(OR(C220="", D220=""), "", IFERROR(VLOOKUP(C220, '03_FOOD_DATABASE'!$B$5:$L$60, 7, FALSE)*D220/100, IFERROR(VLOOKUP(C220, '04_RECIPE_DATABASE'!$B$5:$M$20, 9, FALSE)*D220, 0)))</f>
        <v/>
      </c>
      <c r="H220" s="117">
        <f>IF(OR(C220="", D220=""), "", IFERROR(VLOOKUP(C220, '03_FOOD_DATABASE'!$B$5:$L$60, 8, FALSE)*D220/100, IFERROR(VLOOKUP(C220, '04_RECIPE_DATABASE'!$B$5:$M$20, 10, FALSE)*D220, 0)))</f>
        <v/>
      </c>
      <c r="I220" s="117">
        <f>IF(OR(C220="", D220=""), "", IFERROR(VLOOKUP(C220, '03_FOOD_DATABASE'!$B$5:$L$60, 9, FALSE)*D220/100, IFERROR(VLOOKUP(C220, '04_RECIPE_DATABASE'!$B$5:$M$20, 11, FALSE)*D220, 0)))</f>
        <v/>
      </c>
      <c r="J220" s="116">
        <f>IF(OR(C220="", D220=""), "", IFERROR(VLOOKUP(C220, '03_FOOD_DATABASE'!$B$5:$L$60, 11, FALSE)*D220/100, IFERROR(VLOOKUP(C220, '04_RECIPE_DATABASE'!$B$5:$M$20, 12, FALSE)*D220, 0)))</f>
        <v/>
      </c>
      <c r="K220" s="115" t="n"/>
      <c r="L220" s="115" t="n"/>
    </row>
    <row r="221">
      <c r="A221" s="115" t="n"/>
      <c r="B221" s="115" t="n"/>
      <c r="C221" s="115" t="n"/>
      <c r="D221" s="115" t="n"/>
      <c r="E221" s="115" t="n"/>
      <c r="F221" s="116">
        <f>IF(OR(C221="", D221=""), "", IFERROR(VLOOKUP(C221, '03_FOOD_DATABASE'!$B$5:$L$60, 6, FALSE)*D221/100, IFERROR(VLOOKUP(C221, '04_RECIPE_DATABASE'!$B$5:$M$20, 8, FALSE)*D221, 0)))</f>
        <v/>
      </c>
      <c r="G221" s="117">
        <f>IF(OR(C221="", D221=""), "", IFERROR(VLOOKUP(C221, '03_FOOD_DATABASE'!$B$5:$L$60, 7, FALSE)*D221/100, IFERROR(VLOOKUP(C221, '04_RECIPE_DATABASE'!$B$5:$M$20, 9, FALSE)*D221, 0)))</f>
        <v/>
      </c>
      <c r="H221" s="117">
        <f>IF(OR(C221="", D221=""), "", IFERROR(VLOOKUP(C221, '03_FOOD_DATABASE'!$B$5:$L$60, 8, FALSE)*D221/100, IFERROR(VLOOKUP(C221, '04_RECIPE_DATABASE'!$B$5:$M$20, 10, FALSE)*D221, 0)))</f>
        <v/>
      </c>
      <c r="I221" s="117">
        <f>IF(OR(C221="", D221=""), "", IFERROR(VLOOKUP(C221, '03_FOOD_DATABASE'!$B$5:$L$60, 9, FALSE)*D221/100, IFERROR(VLOOKUP(C221, '04_RECIPE_DATABASE'!$B$5:$M$20, 11, FALSE)*D221, 0)))</f>
        <v/>
      </c>
      <c r="J221" s="116">
        <f>IF(OR(C221="", D221=""), "", IFERROR(VLOOKUP(C221, '03_FOOD_DATABASE'!$B$5:$L$60, 11, FALSE)*D221/100, IFERROR(VLOOKUP(C221, '04_RECIPE_DATABASE'!$B$5:$M$20, 12, FALSE)*D221, 0)))</f>
        <v/>
      </c>
      <c r="K221" s="115" t="n"/>
      <c r="L221" s="115" t="n"/>
    </row>
    <row r="222">
      <c r="A222" s="115" t="n"/>
      <c r="B222" s="115" t="n"/>
      <c r="C222" s="115" t="n"/>
      <c r="D222" s="115" t="n"/>
      <c r="E222" s="115" t="n"/>
      <c r="F222" s="116">
        <f>IF(OR(C222="", D222=""), "", IFERROR(VLOOKUP(C222, '03_FOOD_DATABASE'!$B$5:$L$60, 6, FALSE)*D222/100, IFERROR(VLOOKUP(C222, '04_RECIPE_DATABASE'!$B$5:$M$20, 8, FALSE)*D222, 0)))</f>
        <v/>
      </c>
      <c r="G222" s="117">
        <f>IF(OR(C222="", D222=""), "", IFERROR(VLOOKUP(C222, '03_FOOD_DATABASE'!$B$5:$L$60, 7, FALSE)*D222/100, IFERROR(VLOOKUP(C222, '04_RECIPE_DATABASE'!$B$5:$M$20, 9, FALSE)*D222, 0)))</f>
        <v/>
      </c>
      <c r="H222" s="117">
        <f>IF(OR(C222="", D222=""), "", IFERROR(VLOOKUP(C222, '03_FOOD_DATABASE'!$B$5:$L$60, 8, FALSE)*D222/100, IFERROR(VLOOKUP(C222, '04_RECIPE_DATABASE'!$B$5:$M$20, 10, FALSE)*D222, 0)))</f>
        <v/>
      </c>
      <c r="I222" s="117">
        <f>IF(OR(C222="", D222=""), "", IFERROR(VLOOKUP(C222, '03_FOOD_DATABASE'!$B$5:$L$60, 9, FALSE)*D222/100, IFERROR(VLOOKUP(C222, '04_RECIPE_DATABASE'!$B$5:$M$20, 11, FALSE)*D222, 0)))</f>
        <v/>
      </c>
      <c r="J222" s="116">
        <f>IF(OR(C222="", D222=""), "", IFERROR(VLOOKUP(C222, '03_FOOD_DATABASE'!$B$5:$L$60, 11, FALSE)*D222/100, IFERROR(VLOOKUP(C222, '04_RECIPE_DATABASE'!$B$5:$M$20, 12, FALSE)*D222, 0)))</f>
        <v/>
      </c>
      <c r="K222" s="115" t="n"/>
      <c r="L222" s="115" t="n"/>
    </row>
    <row r="223">
      <c r="A223" s="115" t="n"/>
      <c r="B223" s="115" t="n"/>
      <c r="C223" s="115" t="n"/>
      <c r="D223" s="115" t="n"/>
      <c r="E223" s="115" t="n"/>
      <c r="F223" s="116">
        <f>IF(OR(C223="", D223=""), "", IFERROR(VLOOKUP(C223, '03_FOOD_DATABASE'!$B$5:$L$60, 6, FALSE)*D223/100, IFERROR(VLOOKUP(C223, '04_RECIPE_DATABASE'!$B$5:$M$20, 8, FALSE)*D223, 0)))</f>
        <v/>
      </c>
      <c r="G223" s="117">
        <f>IF(OR(C223="", D223=""), "", IFERROR(VLOOKUP(C223, '03_FOOD_DATABASE'!$B$5:$L$60, 7, FALSE)*D223/100, IFERROR(VLOOKUP(C223, '04_RECIPE_DATABASE'!$B$5:$M$20, 9, FALSE)*D223, 0)))</f>
        <v/>
      </c>
      <c r="H223" s="117">
        <f>IF(OR(C223="", D223=""), "", IFERROR(VLOOKUP(C223, '03_FOOD_DATABASE'!$B$5:$L$60, 8, FALSE)*D223/100, IFERROR(VLOOKUP(C223, '04_RECIPE_DATABASE'!$B$5:$M$20, 10, FALSE)*D223, 0)))</f>
        <v/>
      </c>
      <c r="I223" s="117">
        <f>IF(OR(C223="", D223=""), "", IFERROR(VLOOKUP(C223, '03_FOOD_DATABASE'!$B$5:$L$60, 9, FALSE)*D223/100, IFERROR(VLOOKUP(C223, '04_RECIPE_DATABASE'!$B$5:$M$20, 11, FALSE)*D223, 0)))</f>
        <v/>
      </c>
      <c r="J223" s="116">
        <f>IF(OR(C223="", D223=""), "", IFERROR(VLOOKUP(C223, '03_FOOD_DATABASE'!$B$5:$L$60, 11, FALSE)*D223/100, IFERROR(VLOOKUP(C223, '04_RECIPE_DATABASE'!$B$5:$M$20, 12, FALSE)*D223, 0)))</f>
        <v/>
      </c>
      <c r="K223" s="115" t="n"/>
      <c r="L223" s="115" t="n"/>
    </row>
    <row r="224">
      <c r="A224" s="115" t="n"/>
      <c r="B224" s="115" t="n"/>
      <c r="C224" s="115" t="n"/>
      <c r="D224" s="115" t="n"/>
      <c r="E224" s="115" t="n"/>
      <c r="F224" s="116">
        <f>IF(OR(C224="", D224=""), "", IFERROR(VLOOKUP(C224, '03_FOOD_DATABASE'!$B$5:$L$60, 6, FALSE)*D224/100, IFERROR(VLOOKUP(C224, '04_RECIPE_DATABASE'!$B$5:$M$20, 8, FALSE)*D224, 0)))</f>
        <v/>
      </c>
      <c r="G224" s="117">
        <f>IF(OR(C224="", D224=""), "", IFERROR(VLOOKUP(C224, '03_FOOD_DATABASE'!$B$5:$L$60, 7, FALSE)*D224/100, IFERROR(VLOOKUP(C224, '04_RECIPE_DATABASE'!$B$5:$M$20, 9, FALSE)*D224, 0)))</f>
        <v/>
      </c>
      <c r="H224" s="117">
        <f>IF(OR(C224="", D224=""), "", IFERROR(VLOOKUP(C224, '03_FOOD_DATABASE'!$B$5:$L$60, 8, FALSE)*D224/100, IFERROR(VLOOKUP(C224, '04_RECIPE_DATABASE'!$B$5:$M$20, 10, FALSE)*D224, 0)))</f>
        <v/>
      </c>
      <c r="I224" s="117">
        <f>IF(OR(C224="", D224=""), "", IFERROR(VLOOKUP(C224, '03_FOOD_DATABASE'!$B$5:$L$60, 9, FALSE)*D224/100, IFERROR(VLOOKUP(C224, '04_RECIPE_DATABASE'!$B$5:$M$20, 11, FALSE)*D224, 0)))</f>
        <v/>
      </c>
      <c r="J224" s="116">
        <f>IF(OR(C224="", D224=""), "", IFERROR(VLOOKUP(C224, '03_FOOD_DATABASE'!$B$5:$L$60, 11, FALSE)*D224/100, IFERROR(VLOOKUP(C224, '04_RECIPE_DATABASE'!$B$5:$M$20, 12, FALSE)*D224, 0)))</f>
        <v/>
      </c>
      <c r="K224" s="115" t="n"/>
      <c r="L224" s="115" t="n"/>
    </row>
    <row r="225">
      <c r="A225" s="115" t="n"/>
      <c r="B225" s="115" t="n"/>
      <c r="C225" s="115" t="n"/>
      <c r="D225" s="115" t="n"/>
      <c r="E225" s="115" t="n"/>
      <c r="F225" s="116">
        <f>IF(OR(C225="", D225=""), "", IFERROR(VLOOKUP(C225, '03_FOOD_DATABASE'!$B$5:$L$60, 6, FALSE)*D225/100, IFERROR(VLOOKUP(C225, '04_RECIPE_DATABASE'!$B$5:$M$20, 8, FALSE)*D225, 0)))</f>
        <v/>
      </c>
      <c r="G225" s="117">
        <f>IF(OR(C225="", D225=""), "", IFERROR(VLOOKUP(C225, '03_FOOD_DATABASE'!$B$5:$L$60, 7, FALSE)*D225/100, IFERROR(VLOOKUP(C225, '04_RECIPE_DATABASE'!$B$5:$M$20, 9, FALSE)*D225, 0)))</f>
        <v/>
      </c>
      <c r="H225" s="117">
        <f>IF(OR(C225="", D225=""), "", IFERROR(VLOOKUP(C225, '03_FOOD_DATABASE'!$B$5:$L$60, 8, FALSE)*D225/100, IFERROR(VLOOKUP(C225, '04_RECIPE_DATABASE'!$B$5:$M$20, 10, FALSE)*D225, 0)))</f>
        <v/>
      </c>
      <c r="I225" s="117">
        <f>IF(OR(C225="", D225=""), "", IFERROR(VLOOKUP(C225, '03_FOOD_DATABASE'!$B$5:$L$60, 9, FALSE)*D225/100, IFERROR(VLOOKUP(C225, '04_RECIPE_DATABASE'!$B$5:$M$20, 11, FALSE)*D225, 0)))</f>
        <v/>
      </c>
      <c r="J225" s="116">
        <f>IF(OR(C225="", D225=""), "", IFERROR(VLOOKUP(C225, '03_FOOD_DATABASE'!$B$5:$L$60, 11, FALSE)*D225/100, IFERROR(VLOOKUP(C225, '04_RECIPE_DATABASE'!$B$5:$M$20, 12, FALSE)*D225, 0)))</f>
        <v/>
      </c>
      <c r="K225" s="115" t="n"/>
      <c r="L225" s="115" t="n"/>
    </row>
    <row r="226">
      <c r="A226" s="115" t="n"/>
      <c r="B226" s="115" t="n"/>
      <c r="C226" s="115" t="n"/>
      <c r="D226" s="115" t="n"/>
      <c r="E226" s="115" t="n"/>
      <c r="F226" s="116">
        <f>IF(OR(C226="", D226=""), "", IFERROR(VLOOKUP(C226, '03_FOOD_DATABASE'!$B$5:$L$60, 6, FALSE)*D226/100, IFERROR(VLOOKUP(C226, '04_RECIPE_DATABASE'!$B$5:$M$20, 8, FALSE)*D226, 0)))</f>
        <v/>
      </c>
      <c r="G226" s="117">
        <f>IF(OR(C226="", D226=""), "", IFERROR(VLOOKUP(C226, '03_FOOD_DATABASE'!$B$5:$L$60, 7, FALSE)*D226/100, IFERROR(VLOOKUP(C226, '04_RECIPE_DATABASE'!$B$5:$M$20, 9, FALSE)*D226, 0)))</f>
        <v/>
      </c>
      <c r="H226" s="117">
        <f>IF(OR(C226="", D226=""), "", IFERROR(VLOOKUP(C226, '03_FOOD_DATABASE'!$B$5:$L$60, 8, FALSE)*D226/100, IFERROR(VLOOKUP(C226, '04_RECIPE_DATABASE'!$B$5:$M$20, 10, FALSE)*D226, 0)))</f>
        <v/>
      </c>
      <c r="I226" s="117">
        <f>IF(OR(C226="", D226=""), "", IFERROR(VLOOKUP(C226, '03_FOOD_DATABASE'!$B$5:$L$60, 9, FALSE)*D226/100, IFERROR(VLOOKUP(C226, '04_RECIPE_DATABASE'!$B$5:$M$20, 11, FALSE)*D226, 0)))</f>
        <v/>
      </c>
      <c r="J226" s="116">
        <f>IF(OR(C226="", D226=""), "", IFERROR(VLOOKUP(C226, '03_FOOD_DATABASE'!$B$5:$L$60, 11, FALSE)*D226/100, IFERROR(VLOOKUP(C226, '04_RECIPE_DATABASE'!$B$5:$M$20, 12, FALSE)*D226, 0)))</f>
        <v/>
      </c>
      <c r="K226" s="115" t="n"/>
      <c r="L226" s="115" t="n"/>
    </row>
    <row r="227">
      <c r="A227" s="115" t="n"/>
      <c r="B227" s="115" t="n"/>
      <c r="C227" s="115" t="n"/>
      <c r="D227" s="115" t="n"/>
      <c r="E227" s="115" t="n"/>
      <c r="F227" s="116">
        <f>IF(OR(C227="", D227=""), "", IFERROR(VLOOKUP(C227, '03_FOOD_DATABASE'!$B$5:$L$60, 6, FALSE)*D227/100, IFERROR(VLOOKUP(C227, '04_RECIPE_DATABASE'!$B$5:$M$20, 8, FALSE)*D227, 0)))</f>
        <v/>
      </c>
      <c r="G227" s="117">
        <f>IF(OR(C227="", D227=""), "", IFERROR(VLOOKUP(C227, '03_FOOD_DATABASE'!$B$5:$L$60, 7, FALSE)*D227/100, IFERROR(VLOOKUP(C227, '04_RECIPE_DATABASE'!$B$5:$M$20, 9, FALSE)*D227, 0)))</f>
        <v/>
      </c>
      <c r="H227" s="117">
        <f>IF(OR(C227="", D227=""), "", IFERROR(VLOOKUP(C227, '03_FOOD_DATABASE'!$B$5:$L$60, 8, FALSE)*D227/100, IFERROR(VLOOKUP(C227, '04_RECIPE_DATABASE'!$B$5:$M$20, 10, FALSE)*D227, 0)))</f>
        <v/>
      </c>
      <c r="I227" s="117">
        <f>IF(OR(C227="", D227=""), "", IFERROR(VLOOKUP(C227, '03_FOOD_DATABASE'!$B$5:$L$60, 9, FALSE)*D227/100, IFERROR(VLOOKUP(C227, '04_RECIPE_DATABASE'!$B$5:$M$20, 11, FALSE)*D227, 0)))</f>
        <v/>
      </c>
      <c r="J227" s="116">
        <f>IF(OR(C227="", D227=""), "", IFERROR(VLOOKUP(C227, '03_FOOD_DATABASE'!$B$5:$L$60, 11, FALSE)*D227/100, IFERROR(VLOOKUP(C227, '04_RECIPE_DATABASE'!$B$5:$M$20, 12, FALSE)*D227, 0)))</f>
        <v/>
      </c>
      <c r="K227" s="115" t="n"/>
      <c r="L227" s="115" t="n"/>
    </row>
    <row r="228">
      <c r="A228" s="115" t="n"/>
      <c r="B228" s="115" t="n"/>
      <c r="C228" s="115" t="n"/>
      <c r="D228" s="115" t="n"/>
      <c r="E228" s="115" t="n"/>
      <c r="F228" s="116">
        <f>IF(OR(C228="", D228=""), "", IFERROR(VLOOKUP(C228, '03_FOOD_DATABASE'!$B$5:$L$60, 6, FALSE)*D228/100, IFERROR(VLOOKUP(C228, '04_RECIPE_DATABASE'!$B$5:$M$20, 8, FALSE)*D228, 0)))</f>
        <v/>
      </c>
      <c r="G228" s="117">
        <f>IF(OR(C228="", D228=""), "", IFERROR(VLOOKUP(C228, '03_FOOD_DATABASE'!$B$5:$L$60, 7, FALSE)*D228/100, IFERROR(VLOOKUP(C228, '04_RECIPE_DATABASE'!$B$5:$M$20, 9, FALSE)*D228, 0)))</f>
        <v/>
      </c>
      <c r="H228" s="117">
        <f>IF(OR(C228="", D228=""), "", IFERROR(VLOOKUP(C228, '03_FOOD_DATABASE'!$B$5:$L$60, 8, FALSE)*D228/100, IFERROR(VLOOKUP(C228, '04_RECIPE_DATABASE'!$B$5:$M$20, 10, FALSE)*D228, 0)))</f>
        <v/>
      </c>
      <c r="I228" s="117">
        <f>IF(OR(C228="", D228=""), "", IFERROR(VLOOKUP(C228, '03_FOOD_DATABASE'!$B$5:$L$60, 9, FALSE)*D228/100, IFERROR(VLOOKUP(C228, '04_RECIPE_DATABASE'!$B$5:$M$20, 11, FALSE)*D228, 0)))</f>
        <v/>
      </c>
      <c r="J228" s="116">
        <f>IF(OR(C228="", D228=""), "", IFERROR(VLOOKUP(C228, '03_FOOD_DATABASE'!$B$5:$L$60, 11, FALSE)*D228/100, IFERROR(VLOOKUP(C228, '04_RECIPE_DATABASE'!$B$5:$M$20, 12, FALSE)*D228, 0)))</f>
        <v/>
      </c>
      <c r="K228" s="115" t="n"/>
      <c r="L228" s="115" t="n"/>
    </row>
    <row r="229">
      <c r="A229" s="115" t="n"/>
      <c r="B229" s="115" t="n"/>
      <c r="C229" s="115" t="n"/>
      <c r="D229" s="115" t="n"/>
      <c r="E229" s="115" t="n"/>
      <c r="F229" s="116">
        <f>IF(OR(C229="", D229=""), "", IFERROR(VLOOKUP(C229, '03_FOOD_DATABASE'!$B$5:$L$60, 6, FALSE)*D229/100, IFERROR(VLOOKUP(C229, '04_RECIPE_DATABASE'!$B$5:$M$20, 8, FALSE)*D229, 0)))</f>
        <v/>
      </c>
      <c r="G229" s="117">
        <f>IF(OR(C229="", D229=""), "", IFERROR(VLOOKUP(C229, '03_FOOD_DATABASE'!$B$5:$L$60, 7, FALSE)*D229/100, IFERROR(VLOOKUP(C229, '04_RECIPE_DATABASE'!$B$5:$M$20, 9, FALSE)*D229, 0)))</f>
        <v/>
      </c>
      <c r="H229" s="117">
        <f>IF(OR(C229="", D229=""), "", IFERROR(VLOOKUP(C229, '03_FOOD_DATABASE'!$B$5:$L$60, 8, FALSE)*D229/100, IFERROR(VLOOKUP(C229, '04_RECIPE_DATABASE'!$B$5:$M$20, 10, FALSE)*D229, 0)))</f>
        <v/>
      </c>
      <c r="I229" s="117">
        <f>IF(OR(C229="", D229=""), "", IFERROR(VLOOKUP(C229, '03_FOOD_DATABASE'!$B$5:$L$60, 9, FALSE)*D229/100, IFERROR(VLOOKUP(C229, '04_RECIPE_DATABASE'!$B$5:$M$20, 11, FALSE)*D229, 0)))</f>
        <v/>
      </c>
      <c r="J229" s="116">
        <f>IF(OR(C229="", D229=""), "", IFERROR(VLOOKUP(C229, '03_FOOD_DATABASE'!$B$5:$L$60, 11, FALSE)*D229/100, IFERROR(VLOOKUP(C229, '04_RECIPE_DATABASE'!$B$5:$M$20, 12, FALSE)*D229, 0)))</f>
        <v/>
      </c>
      <c r="K229" s="115" t="n"/>
      <c r="L229" s="115" t="n"/>
    </row>
    <row r="230">
      <c r="A230" s="115" t="n"/>
      <c r="B230" s="115" t="n"/>
      <c r="C230" s="115" t="n"/>
      <c r="D230" s="115" t="n"/>
      <c r="E230" s="115" t="n"/>
      <c r="F230" s="116">
        <f>IF(OR(C230="", D230=""), "", IFERROR(VLOOKUP(C230, '03_FOOD_DATABASE'!$B$5:$L$60, 6, FALSE)*D230/100, IFERROR(VLOOKUP(C230, '04_RECIPE_DATABASE'!$B$5:$M$20, 8, FALSE)*D230, 0)))</f>
        <v/>
      </c>
      <c r="G230" s="117">
        <f>IF(OR(C230="", D230=""), "", IFERROR(VLOOKUP(C230, '03_FOOD_DATABASE'!$B$5:$L$60, 7, FALSE)*D230/100, IFERROR(VLOOKUP(C230, '04_RECIPE_DATABASE'!$B$5:$M$20, 9, FALSE)*D230, 0)))</f>
        <v/>
      </c>
      <c r="H230" s="117">
        <f>IF(OR(C230="", D230=""), "", IFERROR(VLOOKUP(C230, '03_FOOD_DATABASE'!$B$5:$L$60, 8, FALSE)*D230/100, IFERROR(VLOOKUP(C230, '04_RECIPE_DATABASE'!$B$5:$M$20, 10, FALSE)*D230, 0)))</f>
        <v/>
      </c>
      <c r="I230" s="117">
        <f>IF(OR(C230="", D230=""), "", IFERROR(VLOOKUP(C230, '03_FOOD_DATABASE'!$B$5:$L$60, 9, FALSE)*D230/100, IFERROR(VLOOKUP(C230, '04_RECIPE_DATABASE'!$B$5:$M$20, 11, FALSE)*D230, 0)))</f>
        <v/>
      </c>
      <c r="J230" s="116">
        <f>IF(OR(C230="", D230=""), "", IFERROR(VLOOKUP(C230, '03_FOOD_DATABASE'!$B$5:$L$60, 11, FALSE)*D230/100, IFERROR(VLOOKUP(C230, '04_RECIPE_DATABASE'!$B$5:$M$20, 12, FALSE)*D230, 0)))</f>
        <v/>
      </c>
      <c r="K230" s="115" t="n"/>
      <c r="L230" s="115" t="n"/>
    </row>
    <row r="231">
      <c r="A231" s="115" t="n"/>
      <c r="B231" s="115" t="n"/>
      <c r="C231" s="115" t="n"/>
      <c r="D231" s="115" t="n"/>
      <c r="E231" s="115" t="n"/>
      <c r="F231" s="116">
        <f>IF(OR(C231="", D231=""), "", IFERROR(VLOOKUP(C231, '03_FOOD_DATABASE'!$B$5:$L$60, 6, FALSE)*D231/100, IFERROR(VLOOKUP(C231, '04_RECIPE_DATABASE'!$B$5:$M$20, 8, FALSE)*D231, 0)))</f>
        <v/>
      </c>
      <c r="G231" s="117">
        <f>IF(OR(C231="", D231=""), "", IFERROR(VLOOKUP(C231, '03_FOOD_DATABASE'!$B$5:$L$60, 7, FALSE)*D231/100, IFERROR(VLOOKUP(C231, '04_RECIPE_DATABASE'!$B$5:$M$20, 9, FALSE)*D231, 0)))</f>
        <v/>
      </c>
      <c r="H231" s="117">
        <f>IF(OR(C231="", D231=""), "", IFERROR(VLOOKUP(C231, '03_FOOD_DATABASE'!$B$5:$L$60, 8, FALSE)*D231/100, IFERROR(VLOOKUP(C231, '04_RECIPE_DATABASE'!$B$5:$M$20, 10, FALSE)*D231, 0)))</f>
        <v/>
      </c>
      <c r="I231" s="117">
        <f>IF(OR(C231="", D231=""), "", IFERROR(VLOOKUP(C231, '03_FOOD_DATABASE'!$B$5:$L$60, 9, FALSE)*D231/100, IFERROR(VLOOKUP(C231, '04_RECIPE_DATABASE'!$B$5:$M$20, 11, FALSE)*D231, 0)))</f>
        <v/>
      </c>
      <c r="J231" s="116">
        <f>IF(OR(C231="", D231=""), "", IFERROR(VLOOKUP(C231, '03_FOOD_DATABASE'!$B$5:$L$60, 11, FALSE)*D231/100, IFERROR(VLOOKUP(C231, '04_RECIPE_DATABASE'!$B$5:$M$20, 12, FALSE)*D231, 0)))</f>
        <v/>
      </c>
      <c r="K231" s="115" t="n"/>
      <c r="L231" s="115" t="n"/>
    </row>
    <row r="232">
      <c r="A232" s="115" t="n"/>
      <c r="B232" s="115" t="n"/>
      <c r="C232" s="115" t="n"/>
      <c r="D232" s="115" t="n"/>
      <c r="E232" s="115" t="n"/>
      <c r="F232" s="116">
        <f>IF(OR(C232="", D232=""), "", IFERROR(VLOOKUP(C232, '03_FOOD_DATABASE'!$B$5:$L$60, 6, FALSE)*D232/100, IFERROR(VLOOKUP(C232, '04_RECIPE_DATABASE'!$B$5:$M$20, 8, FALSE)*D232, 0)))</f>
        <v/>
      </c>
      <c r="G232" s="117">
        <f>IF(OR(C232="", D232=""), "", IFERROR(VLOOKUP(C232, '03_FOOD_DATABASE'!$B$5:$L$60, 7, FALSE)*D232/100, IFERROR(VLOOKUP(C232, '04_RECIPE_DATABASE'!$B$5:$M$20, 9, FALSE)*D232, 0)))</f>
        <v/>
      </c>
      <c r="H232" s="117">
        <f>IF(OR(C232="", D232=""), "", IFERROR(VLOOKUP(C232, '03_FOOD_DATABASE'!$B$5:$L$60, 8, FALSE)*D232/100, IFERROR(VLOOKUP(C232, '04_RECIPE_DATABASE'!$B$5:$M$20, 10, FALSE)*D232, 0)))</f>
        <v/>
      </c>
      <c r="I232" s="117">
        <f>IF(OR(C232="", D232=""), "", IFERROR(VLOOKUP(C232, '03_FOOD_DATABASE'!$B$5:$L$60, 9, FALSE)*D232/100, IFERROR(VLOOKUP(C232, '04_RECIPE_DATABASE'!$B$5:$M$20, 11, FALSE)*D232, 0)))</f>
        <v/>
      </c>
      <c r="J232" s="116">
        <f>IF(OR(C232="", D232=""), "", IFERROR(VLOOKUP(C232, '03_FOOD_DATABASE'!$B$5:$L$60, 11, FALSE)*D232/100, IFERROR(VLOOKUP(C232, '04_RECIPE_DATABASE'!$B$5:$M$20, 12, FALSE)*D232, 0)))</f>
        <v/>
      </c>
      <c r="K232" s="115" t="n"/>
      <c r="L232" s="115" t="n"/>
    </row>
    <row r="233">
      <c r="A233" s="115" t="n"/>
      <c r="B233" s="115" t="n"/>
      <c r="C233" s="115" t="n"/>
      <c r="D233" s="115" t="n"/>
      <c r="E233" s="115" t="n"/>
      <c r="F233" s="116">
        <f>IF(OR(C233="", D233=""), "", IFERROR(VLOOKUP(C233, '03_FOOD_DATABASE'!$B$5:$L$60, 6, FALSE)*D233/100, IFERROR(VLOOKUP(C233, '04_RECIPE_DATABASE'!$B$5:$M$20, 8, FALSE)*D233, 0)))</f>
        <v/>
      </c>
      <c r="G233" s="117">
        <f>IF(OR(C233="", D233=""), "", IFERROR(VLOOKUP(C233, '03_FOOD_DATABASE'!$B$5:$L$60, 7, FALSE)*D233/100, IFERROR(VLOOKUP(C233, '04_RECIPE_DATABASE'!$B$5:$M$20, 9, FALSE)*D233, 0)))</f>
        <v/>
      </c>
      <c r="H233" s="117">
        <f>IF(OR(C233="", D233=""), "", IFERROR(VLOOKUP(C233, '03_FOOD_DATABASE'!$B$5:$L$60, 8, FALSE)*D233/100, IFERROR(VLOOKUP(C233, '04_RECIPE_DATABASE'!$B$5:$M$20, 10, FALSE)*D233, 0)))</f>
        <v/>
      </c>
      <c r="I233" s="117">
        <f>IF(OR(C233="", D233=""), "", IFERROR(VLOOKUP(C233, '03_FOOD_DATABASE'!$B$5:$L$60, 9, FALSE)*D233/100, IFERROR(VLOOKUP(C233, '04_RECIPE_DATABASE'!$B$5:$M$20, 11, FALSE)*D233, 0)))</f>
        <v/>
      </c>
      <c r="J233" s="116">
        <f>IF(OR(C233="", D233=""), "", IFERROR(VLOOKUP(C233, '03_FOOD_DATABASE'!$B$5:$L$60, 11, FALSE)*D233/100, IFERROR(VLOOKUP(C233, '04_RECIPE_DATABASE'!$B$5:$M$20, 12, FALSE)*D233, 0)))</f>
        <v/>
      </c>
      <c r="K233" s="115" t="n"/>
      <c r="L233" s="115" t="n"/>
    </row>
    <row r="234">
      <c r="A234" s="115" t="n"/>
      <c r="B234" s="115" t="n"/>
      <c r="C234" s="115" t="n"/>
      <c r="D234" s="115" t="n"/>
      <c r="E234" s="115" t="n"/>
      <c r="F234" s="116">
        <f>IF(OR(C234="", D234=""), "", IFERROR(VLOOKUP(C234, '03_FOOD_DATABASE'!$B$5:$L$60, 6, FALSE)*D234/100, IFERROR(VLOOKUP(C234, '04_RECIPE_DATABASE'!$B$5:$M$20, 8, FALSE)*D234, 0)))</f>
        <v/>
      </c>
      <c r="G234" s="117">
        <f>IF(OR(C234="", D234=""), "", IFERROR(VLOOKUP(C234, '03_FOOD_DATABASE'!$B$5:$L$60, 7, FALSE)*D234/100, IFERROR(VLOOKUP(C234, '04_RECIPE_DATABASE'!$B$5:$M$20, 9, FALSE)*D234, 0)))</f>
        <v/>
      </c>
      <c r="H234" s="117">
        <f>IF(OR(C234="", D234=""), "", IFERROR(VLOOKUP(C234, '03_FOOD_DATABASE'!$B$5:$L$60, 8, FALSE)*D234/100, IFERROR(VLOOKUP(C234, '04_RECIPE_DATABASE'!$B$5:$M$20, 10, FALSE)*D234, 0)))</f>
        <v/>
      </c>
      <c r="I234" s="117">
        <f>IF(OR(C234="", D234=""), "", IFERROR(VLOOKUP(C234, '03_FOOD_DATABASE'!$B$5:$L$60, 9, FALSE)*D234/100, IFERROR(VLOOKUP(C234, '04_RECIPE_DATABASE'!$B$5:$M$20, 11, FALSE)*D234, 0)))</f>
        <v/>
      </c>
      <c r="J234" s="116">
        <f>IF(OR(C234="", D234=""), "", IFERROR(VLOOKUP(C234, '03_FOOD_DATABASE'!$B$5:$L$60, 11, FALSE)*D234/100, IFERROR(VLOOKUP(C234, '04_RECIPE_DATABASE'!$B$5:$M$20, 12, FALSE)*D234, 0)))</f>
        <v/>
      </c>
      <c r="K234" s="115" t="n"/>
      <c r="L234" s="115" t="n"/>
    </row>
    <row r="235">
      <c r="A235" s="115" t="n"/>
      <c r="B235" s="115" t="n"/>
      <c r="C235" s="115" t="n"/>
      <c r="D235" s="115" t="n"/>
      <c r="E235" s="115" t="n"/>
      <c r="F235" s="116">
        <f>IF(OR(C235="", D235=""), "", IFERROR(VLOOKUP(C235, '03_FOOD_DATABASE'!$B$5:$L$60, 6, FALSE)*D235/100, IFERROR(VLOOKUP(C235, '04_RECIPE_DATABASE'!$B$5:$M$20, 8, FALSE)*D235, 0)))</f>
        <v/>
      </c>
      <c r="G235" s="117">
        <f>IF(OR(C235="", D235=""), "", IFERROR(VLOOKUP(C235, '03_FOOD_DATABASE'!$B$5:$L$60, 7, FALSE)*D235/100, IFERROR(VLOOKUP(C235, '04_RECIPE_DATABASE'!$B$5:$M$20, 9, FALSE)*D235, 0)))</f>
        <v/>
      </c>
      <c r="H235" s="117">
        <f>IF(OR(C235="", D235=""), "", IFERROR(VLOOKUP(C235, '03_FOOD_DATABASE'!$B$5:$L$60, 8, FALSE)*D235/100, IFERROR(VLOOKUP(C235, '04_RECIPE_DATABASE'!$B$5:$M$20, 10, FALSE)*D235, 0)))</f>
        <v/>
      </c>
      <c r="I235" s="117">
        <f>IF(OR(C235="", D235=""), "", IFERROR(VLOOKUP(C235, '03_FOOD_DATABASE'!$B$5:$L$60, 9, FALSE)*D235/100, IFERROR(VLOOKUP(C235, '04_RECIPE_DATABASE'!$B$5:$M$20, 11, FALSE)*D235, 0)))</f>
        <v/>
      </c>
      <c r="J235" s="116">
        <f>IF(OR(C235="", D235=""), "", IFERROR(VLOOKUP(C235, '03_FOOD_DATABASE'!$B$5:$L$60, 11, FALSE)*D235/100, IFERROR(VLOOKUP(C235, '04_RECIPE_DATABASE'!$B$5:$M$20, 12, FALSE)*D235, 0)))</f>
        <v/>
      </c>
      <c r="K235" s="115" t="n"/>
      <c r="L235" s="115" t="n"/>
    </row>
    <row r="236">
      <c r="A236" s="115" t="n"/>
      <c r="B236" s="115" t="n"/>
      <c r="C236" s="115" t="n"/>
      <c r="D236" s="115" t="n"/>
      <c r="E236" s="115" t="n"/>
      <c r="F236" s="116">
        <f>IF(OR(C236="", D236=""), "", IFERROR(VLOOKUP(C236, '03_FOOD_DATABASE'!$B$5:$L$60, 6, FALSE)*D236/100, IFERROR(VLOOKUP(C236, '04_RECIPE_DATABASE'!$B$5:$M$20, 8, FALSE)*D236, 0)))</f>
        <v/>
      </c>
      <c r="G236" s="117">
        <f>IF(OR(C236="", D236=""), "", IFERROR(VLOOKUP(C236, '03_FOOD_DATABASE'!$B$5:$L$60, 7, FALSE)*D236/100, IFERROR(VLOOKUP(C236, '04_RECIPE_DATABASE'!$B$5:$M$20, 9, FALSE)*D236, 0)))</f>
        <v/>
      </c>
      <c r="H236" s="117">
        <f>IF(OR(C236="", D236=""), "", IFERROR(VLOOKUP(C236, '03_FOOD_DATABASE'!$B$5:$L$60, 8, FALSE)*D236/100, IFERROR(VLOOKUP(C236, '04_RECIPE_DATABASE'!$B$5:$M$20, 10, FALSE)*D236, 0)))</f>
        <v/>
      </c>
      <c r="I236" s="117">
        <f>IF(OR(C236="", D236=""), "", IFERROR(VLOOKUP(C236, '03_FOOD_DATABASE'!$B$5:$L$60, 9, FALSE)*D236/100, IFERROR(VLOOKUP(C236, '04_RECIPE_DATABASE'!$B$5:$M$20, 11, FALSE)*D236, 0)))</f>
        <v/>
      </c>
      <c r="J236" s="116">
        <f>IF(OR(C236="", D236=""), "", IFERROR(VLOOKUP(C236, '03_FOOD_DATABASE'!$B$5:$L$60, 11, FALSE)*D236/100, IFERROR(VLOOKUP(C236, '04_RECIPE_DATABASE'!$B$5:$M$20, 12, FALSE)*D236, 0)))</f>
        <v/>
      </c>
      <c r="K236" s="115" t="n"/>
      <c r="L236" s="115" t="n"/>
    </row>
    <row r="237">
      <c r="A237" s="115" t="n"/>
      <c r="B237" s="115" t="n"/>
      <c r="C237" s="115" t="n"/>
      <c r="D237" s="115" t="n"/>
      <c r="E237" s="115" t="n"/>
      <c r="F237" s="116">
        <f>IF(OR(C237="", D237=""), "", IFERROR(VLOOKUP(C237, '03_FOOD_DATABASE'!$B$5:$L$60, 6, FALSE)*D237/100, IFERROR(VLOOKUP(C237, '04_RECIPE_DATABASE'!$B$5:$M$20, 8, FALSE)*D237, 0)))</f>
        <v/>
      </c>
      <c r="G237" s="117">
        <f>IF(OR(C237="", D237=""), "", IFERROR(VLOOKUP(C237, '03_FOOD_DATABASE'!$B$5:$L$60, 7, FALSE)*D237/100, IFERROR(VLOOKUP(C237, '04_RECIPE_DATABASE'!$B$5:$M$20, 9, FALSE)*D237, 0)))</f>
        <v/>
      </c>
      <c r="H237" s="117">
        <f>IF(OR(C237="", D237=""), "", IFERROR(VLOOKUP(C237, '03_FOOD_DATABASE'!$B$5:$L$60, 8, FALSE)*D237/100, IFERROR(VLOOKUP(C237, '04_RECIPE_DATABASE'!$B$5:$M$20, 10, FALSE)*D237, 0)))</f>
        <v/>
      </c>
      <c r="I237" s="117">
        <f>IF(OR(C237="", D237=""), "", IFERROR(VLOOKUP(C237, '03_FOOD_DATABASE'!$B$5:$L$60, 9, FALSE)*D237/100, IFERROR(VLOOKUP(C237, '04_RECIPE_DATABASE'!$B$5:$M$20, 11, FALSE)*D237, 0)))</f>
        <v/>
      </c>
      <c r="J237" s="116">
        <f>IF(OR(C237="", D237=""), "", IFERROR(VLOOKUP(C237, '03_FOOD_DATABASE'!$B$5:$L$60, 11, FALSE)*D237/100, IFERROR(VLOOKUP(C237, '04_RECIPE_DATABASE'!$B$5:$M$20, 12, FALSE)*D237, 0)))</f>
        <v/>
      </c>
      <c r="K237" s="115" t="n"/>
      <c r="L237" s="115" t="n"/>
    </row>
    <row r="238">
      <c r="A238" s="115" t="n"/>
      <c r="B238" s="115" t="n"/>
      <c r="C238" s="115" t="n"/>
      <c r="D238" s="115" t="n"/>
      <c r="E238" s="115" t="n"/>
      <c r="F238" s="116">
        <f>IF(OR(C238="", D238=""), "", IFERROR(VLOOKUP(C238, '03_FOOD_DATABASE'!$B$5:$L$60, 6, FALSE)*D238/100, IFERROR(VLOOKUP(C238, '04_RECIPE_DATABASE'!$B$5:$M$20, 8, FALSE)*D238, 0)))</f>
        <v/>
      </c>
      <c r="G238" s="117">
        <f>IF(OR(C238="", D238=""), "", IFERROR(VLOOKUP(C238, '03_FOOD_DATABASE'!$B$5:$L$60, 7, FALSE)*D238/100, IFERROR(VLOOKUP(C238, '04_RECIPE_DATABASE'!$B$5:$M$20, 9, FALSE)*D238, 0)))</f>
        <v/>
      </c>
      <c r="H238" s="117">
        <f>IF(OR(C238="", D238=""), "", IFERROR(VLOOKUP(C238, '03_FOOD_DATABASE'!$B$5:$L$60, 8, FALSE)*D238/100, IFERROR(VLOOKUP(C238, '04_RECIPE_DATABASE'!$B$5:$M$20, 10, FALSE)*D238, 0)))</f>
        <v/>
      </c>
      <c r="I238" s="117">
        <f>IF(OR(C238="", D238=""), "", IFERROR(VLOOKUP(C238, '03_FOOD_DATABASE'!$B$5:$L$60, 9, FALSE)*D238/100, IFERROR(VLOOKUP(C238, '04_RECIPE_DATABASE'!$B$5:$M$20, 11, FALSE)*D238, 0)))</f>
        <v/>
      </c>
      <c r="J238" s="116">
        <f>IF(OR(C238="", D238=""), "", IFERROR(VLOOKUP(C238, '03_FOOD_DATABASE'!$B$5:$L$60, 11, FALSE)*D238/100, IFERROR(VLOOKUP(C238, '04_RECIPE_DATABASE'!$B$5:$M$20, 12, FALSE)*D238, 0)))</f>
        <v/>
      </c>
      <c r="K238" s="115" t="n"/>
      <c r="L238" s="115" t="n"/>
    </row>
    <row r="239">
      <c r="A239" s="115" t="n"/>
      <c r="B239" s="115" t="n"/>
      <c r="C239" s="115" t="n"/>
      <c r="D239" s="115" t="n"/>
      <c r="E239" s="115" t="n"/>
      <c r="F239" s="116">
        <f>IF(OR(C239="", D239=""), "", IFERROR(VLOOKUP(C239, '03_FOOD_DATABASE'!$B$5:$L$60, 6, FALSE)*D239/100, IFERROR(VLOOKUP(C239, '04_RECIPE_DATABASE'!$B$5:$M$20, 8, FALSE)*D239, 0)))</f>
        <v/>
      </c>
      <c r="G239" s="117">
        <f>IF(OR(C239="", D239=""), "", IFERROR(VLOOKUP(C239, '03_FOOD_DATABASE'!$B$5:$L$60, 7, FALSE)*D239/100, IFERROR(VLOOKUP(C239, '04_RECIPE_DATABASE'!$B$5:$M$20, 9, FALSE)*D239, 0)))</f>
        <v/>
      </c>
      <c r="H239" s="117">
        <f>IF(OR(C239="", D239=""), "", IFERROR(VLOOKUP(C239, '03_FOOD_DATABASE'!$B$5:$L$60, 8, FALSE)*D239/100, IFERROR(VLOOKUP(C239, '04_RECIPE_DATABASE'!$B$5:$M$20, 10, FALSE)*D239, 0)))</f>
        <v/>
      </c>
      <c r="I239" s="117">
        <f>IF(OR(C239="", D239=""), "", IFERROR(VLOOKUP(C239, '03_FOOD_DATABASE'!$B$5:$L$60, 9, FALSE)*D239/100, IFERROR(VLOOKUP(C239, '04_RECIPE_DATABASE'!$B$5:$M$20, 11, FALSE)*D239, 0)))</f>
        <v/>
      </c>
      <c r="J239" s="116">
        <f>IF(OR(C239="", D239=""), "", IFERROR(VLOOKUP(C239, '03_FOOD_DATABASE'!$B$5:$L$60, 11, FALSE)*D239/100, IFERROR(VLOOKUP(C239, '04_RECIPE_DATABASE'!$B$5:$M$20, 12, FALSE)*D239, 0)))</f>
        <v/>
      </c>
      <c r="K239" s="115" t="n"/>
      <c r="L239" s="115" t="n"/>
    </row>
    <row r="240">
      <c r="A240" s="115" t="n"/>
      <c r="B240" s="115" t="n"/>
      <c r="C240" s="115" t="n"/>
      <c r="D240" s="115" t="n"/>
      <c r="E240" s="115" t="n"/>
      <c r="F240" s="116">
        <f>IF(OR(C240="", D240=""), "", IFERROR(VLOOKUP(C240, '03_FOOD_DATABASE'!$B$5:$L$60, 6, FALSE)*D240/100, IFERROR(VLOOKUP(C240, '04_RECIPE_DATABASE'!$B$5:$M$20, 8, FALSE)*D240, 0)))</f>
        <v/>
      </c>
      <c r="G240" s="117">
        <f>IF(OR(C240="", D240=""), "", IFERROR(VLOOKUP(C240, '03_FOOD_DATABASE'!$B$5:$L$60, 7, FALSE)*D240/100, IFERROR(VLOOKUP(C240, '04_RECIPE_DATABASE'!$B$5:$M$20, 9, FALSE)*D240, 0)))</f>
        <v/>
      </c>
      <c r="H240" s="117">
        <f>IF(OR(C240="", D240=""), "", IFERROR(VLOOKUP(C240, '03_FOOD_DATABASE'!$B$5:$L$60, 8, FALSE)*D240/100, IFERROR(VLOOKUP(C240, '04_RECIPE_DATABASE'!$B$5:$M$20, 10, FALSE)*D240, 0)))</f>
        <v/>
      </c>
      <c r="I240" s="117">
        <f>IF(OR(C240="", D240=""), "", IFERROR(VLOOKUP(C240, '03_FOOD_DATABASE'!$B$5:$L$60, 9, FALSE)*D240/100, IFERROR(VLOOKUP(C240, '04_RECIPE_DATABASE'!$B$5:$M$20, 11, FALSE)*D240, 0)))</f>
        <v/>
      </c>
      <c r="J240" s="116">
        <f>IF(OR(C240="", D240=""), "", IFERROR(VLOOKUP(C240, '03_FOOD_DATABASE'!$B$5:$L$60, 11, FALSE)*D240/100, IFERROR(VLOOKUP(C240, '04_RECIPE_DATABASE'!$B$5:$M$20, 12, FALSE)*D240, 0)))</f>
        <v/>
      </c>
      <c r="K240" s="115" t="n"/>
      <c r="L240" s="115" t="n"/>
    </row>
    <row r="241">
      <c r="A241" s="115" t="n"/>
      <c r="B241" s="115" t="n"/>
      <c r="C241" s="115" t="n"/>
      <c r="D241" s="115" t="n"/>
      <c r="E241" s="115" t="n"/>
      <c r="F241" s="116">
        <f>IF(OR(C241="", D241=""), "", IFERROR(VLOOKUP(C241, '03_FOOD_DATABASE'!$B$5:$L$60, 6, FALSE)*D241/100, IFERROR(VLOOKUP(C241, '04_RECIPE_DATABASE'!$B$5:$M$20, 8, FALSE)*D241, 0)))</f>
        <v/>
      </c>
      <c r="G241" s="117">
        <f>IF(OR(C241="", D241=""), "", IFERROR(VLOOKUP(C241, '03_FOOD_DATABASE'!$B$5:$L$60, 7, FALSE)*D241/100, IFERROR(VLOOKUP(C241, '04_RECIPE_DATABASE'!$B$5:$M$20, 9, FALSE)*D241, 0)))</f>
        <v/>
      </c>
      <c r="H241" s="117">
        <f>IF(OR(C241="", D241=""), "", IFERROR(VLOOKUP(C241, '03_FOOD_DATABASE'!$B$5:$L$60, 8, FALSE)*D241/100, IFERROR(VLOOKUP(C241, '04_RECIPE_DATABASE'!$B$5:$M$20, 10, FALSE)*D241, 0)))</f>
        <v/>
      </c>
      <c r="I241" s="117">
        <f>IF(OR(C241="", D241=""), "", IFERROR(VLOOKUP(C241, '03_FOOD_DATABASE'!$B$5:$L$60, 9, FALSE)*D241/100, IFERROR(VLOOKUP(C241, '04_RECIPE_DATABASE'!$B$5:$M$20, 11, FALSE)*D241, 0)))</f>
        <v/>
      </c>
      <c r="J241" s="116">
        <f>IF(OR(C241="", D241=""), "", IFERROR(VLOOKUP(C241, '03_FOOD_DATABASE'!$B$5:$L$60, 11, FALSE)*D241/100, IFERROR(VLOOKUP(C241, '04_RECIPE_DATABASE'!$B$5:$M$20, 12, FALSE)*D241, 0)))</f>
        <v/>
      </c>
      <c r="K241" s="115" t="n"/>
      <c r="L241" s="115" t="n"/>
    </row>
    <row r="242">
      <c r="A242" s="115" t="n"/>
      <c r="B242" s="115" t="n"/>
      <c r="C242" s="115" t="n"/>
      <c r="D242" s="115" t="n"/>
      <c r="E242" s="115" t="n"/>
      <c r="F242" s="116">
        <f>IF(OR(C242="", D242=""), "", IFERROR(VLOOKUP(C242, '03_FOOD_DATABASE'!$B$5:$L$60, 6, FALSE)*D242/100, IFERROR(VLOOKUP(C242, '04_RECIPE_DATABASE'!$B$5:$M$20, 8, FALSE)*D242, 0)))</f>
        <v/>
      </c>
      <c r="G242" s="117">
        <f>IF(OR(C242="", D242=""), "", IFERROR(VLOOKUP(C242, '03_FOOD_DATABASE'!$B$5:$L$60, 7, FALSE)*D242/100, IFERROR(VLOOKUP(C242, '04_RECIPE_DATABASE'!$B$5:$M$20, 9, FALSE)*D242, 0)))</f>
        <v/>
      </c>
      <c r="H242" s="117">
        <f>IF(OR(C242="", D242=""), "", IFERROR(VLOOKUP(C242, '03_FOOD_DATABASE'!$B$5:$L$60, 8, FALSE)*D242/100, IFERROR(VLOOKUP(C242, '04_RECIPE_DATABASE'!$B$5:$M$20, 10, FALSE)*D242, 0)))</f>
        <v/>
      </c>
      <c r="I242" s="117">
        <f>IF(OR(C242="", D242=""), "", IFERROR(VLOOKUP(C242, '03_FOOD_DATABASE'!$B$5:$L$60, 9, FALSE)*D242/100, IFERROR(VLOOKUP(C242, '04_RECIPE_DATABASE'!$B$5:$M$20, 11, FALSE)*D242, 0)))</f>
        <v/>
      </c>
      <c r="J242" s="116">
        <f>IF(OR(C242="", D242=""), "", IFERROR(VLOOKUP(C242, '03_FOOD_DATABASE'!$B$5:$L$60, 11, FALSE)*D242/100, IFERROR(VLOOKUP(C242, '04_RECIPE_DATABASE'!$B$5:$M$20, 12, FALSE)*D242, 0)))</f>
        <v/>
      </c>
      <c r="K242" s="115" t="n"/>
      <c r="L242" s="115" t="n"/>
    </row>
    <row r="243">
      <c r="A243" s="115" t="n"/>
      <c r="B243" s="115" t="n"/>
      <c r="C243" s="115" t="n"/>
      <c r="D243" s="115" t="n"/>
      <c r="E243" s="115" t="n"/>
      <c r="F243" s="116">
        <f>IF(OR(C243="", D243=""), "", IFERROR(VLOOKUP(C243, '03_FOOD_DATABASE'!$B$5:$L$60, 6, FALSE)*D243/100, IFERROR(VLOOKUP(C243, '04_RECIPE_DATABASE'!$B$5:$M$20, 8, FALSE)*D243, 0)))</f>
        <v/>
      </c>
      <c r="G243" s="117">
        <f>IF(OR(C243="", D243=""), "", IFERROR(VLOOKUP(C243, '03_FOOD_DATABASE'!$B$5:$L$60, 7, FALSE)*D243/100, IFERROR(VLOOKUP(C243, '04_RECIPE_DATABASE'!$B$5:$M$20, 9, FALSE)*D243, 0)))</f>
        <v/>
      </c>
      <c r="H243" s="117">
        <f>IF(OR(C243="", D243=""), "", IFERROR(VLOOKUP(C243, '03_FOOD_DATABASE'!$B$5:$L$60, 8, FALSE)*D243/100, IFERROR(VLOOKUP(C243, '04_RECIPE_DATABASE'!$B$5:$M$20, 10, FALSE)*D243, 0)))</f>
        <v/>
      </c>
      <c r="I243" s="117">
        <f>IF(OR(C243="", D243=""), "", IFERROR(VLOOKUP(C243, '03_FOOD_DATABASE'!$B$5:$L$60, 9, FALSE)*D243/100, IFERROR(VLOOKUP(C243, '04_RECIPE_DATABASE'!$B$5:$M$20, 11, FALSE)*D243, 0)))</f>
        <v/>
      </c>
      <c r="J243" s="116">
        <f>IF(OR(C243="", D243=""), "", IFERROR(VLOOKUP(C243, '03_FOOD_DATABASE'!$B$5:$L$60, 11, FALSE)*D243/100, IFERROR(VLOOKUP(C243, '04_RECIPE_DATABASE'!$B$5:$M$20, 12, FALSE)*D243, 0)))</f>
        <v/>
      </c>
      <c r="K243" s="115" t="n"/>
      <c r="L243" s="115" t="n"/>
    </row>
    <row r="244">
      <c r="A244" s="115" t="n"/>
      <c r="B244" s="115" t="n"/>
      <c r="C244" s="115" t="n"/>
      <c r="D244" s="115" t="n"/>
      <c r="E244" s="115" t="n"/>
      <c r="F244" s="116">
        <f>IF(OR(C244="", D244=""), "", IFERROR(VLOOKUP(C244, '03_FOOD_DATABASE'!$B$5:$L$60, 6, FALSE)*D244/100, IFERROR(VLOOKUP(C244, '04_RECIPE_DATABASE'!$B$5:$M$20, 8, FALSE)*D244, 0)))</f>
        <v/>
      </c>
      <c r="G244" s="117">
        <f>IF(OR(C244="", D244=""), "", IFERROR(VLOOKUP(C244, '03_FOOD_DATABASE'!$B$5:$L$60, 7, FALSE)*D244/100, IFERROR(VLOOKUP(C244, '04_RECIPE_DATABASE'!$B$5:$M$20, 9, FALSE)*D244, 0)))</f>
        <v/>
      </c>
      <c r="H244" s="117">
        <f>IF(OR(C244="", D244=""), "", IFERROR(VLOOKUP(C244, '03_FOOD_DATABASE'!$B$5:$L$60, 8, FALSE)*D244/100, IFERROR(VLOOKUP(C244, '04_RECIPE_DATABASE'!$B$5:$M$20, 10, FALSE)*D244, 0)))</f>
        <v/>
      </c>
      <c r="I244" s="117">
        <f>IF(OR(C244="", D244=""), "", IFERROR(VLOOKUP(C244, '03_FOOD_DATABASE'!$B$5:$L$60, 9, FALSE)*D244/100, IFERROR(VLOOKUP(C244, '04_RECIPE_DATABASE'!$B$5:$M$20, 11, FALSE)*D244, 0)))</f>
        <v/>
      </c>
      <c r="J244" s="116">
        <f>IF(OR(C244="", D244=""), "", IFERROR(VLOOKUP(C244, '03_FOOD_DATABASE'!$B$5:$L$60, 11, FALSE)*D244/100, IFERROR(VLOOKUP(C244, '04_RECIPE_DATABASE'!$B$5:$M$20, 12, FALSE)*D244, 0)))</f>
        <v/>
      </c>
      <c r="K244" s="115" t="n"/>
      <c r="L244" s="115" t="n"/>
    </row>
    <row r="245">
      <c r="A245" s="115" t="n"/>
      <c r="B245" s="115" t="n"/>
      <c r="C245" s="115" t="n"/>
      <c r="D245" s="115" t="n"/>
      <c r="E245" s="115" t="n"/>
      <c r="F245" s="116">
        <f>IF(OR(C245="", D245=""), "", IFERROR(VLOOKUP(C245, '03_FOOD_DATABASE'!$B$5:$L$60, 6, FALSE)*D245/100, IFERROR(VLOOKUP(C245, '04_RECIPE_DATABASE'!$B$5:$M$20, 8, FALSE)*D245, 0)))</f>
        <v/>
      </c>
      <c r="G245" s="117">
        <f>IF(OR(C245="", D245=""), "", IFERROR(VLOOKUP(C245, '03_FOOD_DATABASE'!$B$5:$L$60, 7, FALSE)*D245/100, IFERROR(VLOOKUP(C245, '04_RECIPE_DATABASE'!$B$5:$M$20, 9, FALSE)*D245, 0)))</f>
        <v/>
      </c>
      <c r="H245" s="117">
        <f>IF(OR(C245="", D245=""), "", IFERROR(VLOOKUP(C245, '03_FOOD_DATABASE'!$B$5:$L$60, 8, FALSE)*D245/100, IFERROR(VLOOKUP(C245, '04_RECIPE_DATABASE'!$B$5:$M$20, 10, FALSE)*D245, 0)))</f>
        <v/>
      </c>
      <c r="I245" s="117">
        <f>IF(OR(C245="", D245=""), "", IFERROR(VLOOKUP(C245, '03_FOOD_DATABASE'!$B$5:$L$60, 9, FALSE)*D245/100, IFERROR(VLOOKUP(C245, '04_RECIPE_DATABASE'!$B$5:$M$20, 11, FALSE)*D245, 0)))</f>
        <v/>
      </c>
      <c r="J245" s="116">
        <f>IF(OR(C245="", D245=""), "", IFERROR(VLOOKUP(C245, '03_FOOD_DATABASE'!$B$5:$L$60, 11, FALSE)*D245/100, IFERROR(VLOOKUP(C245, '04_RECIPE_DATABASE'!$B$5:$M$20, 12, FALSE)*D245, 0)))</f>
        <v/>
      </c>
      <c r="K245" s="115" t="n"/>
      <c r="L245" s="115" t="n"/>
    </row>
    <row r="246">
      <c r="A246" s="115" t="n"/>
      <c r="B246" s="115" t="n"/>
      <c r="C246" s="115" t="n"/>
      <c r="D246" s="115" t="n"/>
      <c r="E246" s="115" t="n"/>
      <c r="F246" s="116">
        <f>IF(OR(C246="", D246=""), "", IFERROR(VLOOKUP(C246, '03_FOOD_DATABASE'!$B$5:$L$60, 6, FALSE)*D246/100, IFERROR(VLOOKUP(C246, '04_RECIPE_DATABASE'!$B$5:$M$20, 8, FALSE)*D246, 0)))</f>
        <v/>
      </c>
      <c r="G246" s="117">
        <f>IF(OR(C246="", D246=""), "", IFERROR(VLOOKUP(C246, '03_FOOD_DATABASE'!$B$5:$L$60, 7, FALSE)*D246/100, IFERROR(VLOOKUP(C246, '04_RECIPE_DATABASE'!$B$5:$M$20, 9, FALSE)*D246, 0)))</f>
        <v/>
      </c>
      <c r="H246" s="117">
        <f>IF(OR(C246="", D246=""), "", IFERROR(VLOOKUP(C246, '03_FOOD_DATABASE'!$B$5:$L$60, 8, FALSE)*D246/100, IFERROR(VLOOKUP(C246, '04_RECIPE_DATABASE'!$B$5:$M$20, 10, FALSE)*D246, 0)))</f>
        <v/>
      </c>
      <c r="I246" s="117">
        <f>IF(OR(C246="", D246=""), "", IFERROR(VLOOKUP(C246, '03_FOOD_DATABASE'!$B$5:$L$60, 9, FALSE)*D246/100, IFERROR(VLOOKUP(C246, '04_RECIPE_DATABASE'!$B$5:$M$20, 11, FALSE)*D246, 0)))</f>
        <v/>
      </c>
      <c r="J246" s="116">
        <f>IF(OR(C246="", D246=""), "", IFERROR(VLOOKUP(C246, '03_FOOD_DATABASE'!$B$5:$L$60, 11, FALSE)*D246/100, IFERROR(VLOOKUP(C246, '04_RECIPE_DATABASE'!$B$5:$M$20, 12, FALSE)*D246, 0)))</f>
        <v/>
      </c>
      <c r="K246" s="115" t="n"/>
      <c r="L246" s="115" t="n"/>
    </row>
    <row r="247">
      <c r="A247" s="115" t="n"/>
      <c r="B247" s="115" t="n"/>
      <c r="C247" s="115" t="n"/>
      <c r="D247" s="115" t="n"/>
      <c r="E247" s="115" t="n"/>
      <c r="F247" s="116">
        <f>IF(OR(C247="", D247=""), "", IFERROR(VLOOKUP(C247, '03_FOOD_DATABASE'!$B$5:$L$60, 6, FALSE)*D247/100, IFERROR(VLOOKUP(C247, '04_RECIPE_DATABASE'!$B$5:$M$20, 8, FALSE)*D247, 0)))</f>
        <v/>
      </c>
      <c r="G247" s="117">
        <f>IF(OR(C247="", D247=""), "", IFERROR(VLOOKUP(C247, '03_FOOD_DATABASE'!$B$5:$L$60, 7, FALSE)*D247/100, IFERROR(VLOOKUP(C247, '04_RECIPE_DATABASE'!$B$5:$M$20, 9, FALSE)*D247, 0)))</f>
        <v/>
      </c>
      <c r="H247" s="117">
        <f>IF(OR(C247="", D247=""), "", IFERROR(VLOOKUP(C247, '03_FOOD_DATABASE'!$B$5:$L$60, 8, FALSE)*D247/100, IFERROR(VLOOKUP(C247, '04_RECIPE_DATABASE'!$B$5:$M$20, 10, FALSE)*D247, 0)))</f>
        <v/>
      </c>
      <c r="I247" s="117">
        <f>IF(OR(C247="", D247=""), "", IFERROR(VLOOKUP(C247, '03_FOOD_DATABASE'!$B$5:$L$60, 9, FALSE)*D247/100, IFERROR(VLOOKUP(C247, '04_RECIPE_DATABASE'!$B$5:$M$20, 11, FALSE)*D247, 0)))</f>
        <v/>
      </c>
      <c r="J247" s="116">
        <f>IF(OR(C247="", D247=""), "", IFERROR(VLOOKUP(C247, '03_FOOD_DATABASE'!$B$5:$L$60, 11, FALSE)*D247/100, IFERROR(VLOOKUP(C247, '04_RECIPE_DATABASE'!$B$5:$M$20, 12, FALSE)*D247, 0)))</f>
        <v/>
      </c>
      <c r="K247" s="115" t="n"/>
      <c r="L247" s="115" t="n"/>
    </row>
    <row r="248">
      <c r="A248" s="115" t="n"/>
      <c r="B248" s="115" t="n"/>
      <c r="C248" s="115" t="n"/>
      <c r="D248" s="115" t="n"/>
      <c r="E248" s="115" t="n"/>
      <c r="F248" s="116">
        <f>IF(OR(C248="", D248=""), "", IFERROR(VLOOKUP(C248, '03_FOOD_DATABASE'!$B$5:$L$60, 6, FALSE)*D248/100, IFERROR(VLOOKUP(C248, '04_RECIPE_DATABASE'!$B$5:$M$20, 8, FALSE)*D248, 0)))</f>
        <v/>
      </c>
      <c r="G248" s="117">
        <f>IF(OR(C248="", D248=""), "", IFERROR(VLOOKUP(C248, '03_FOOD_DATABASE'!$B$5:$L$60, 7, FALSE)*D248/100, IFERROR(VLOOKUP(C248, '04_RECIPE_DATABASE'!$B$5:$M$20, 9, FALSE)*D248, 0)))</f>
        <v/>
      </c>
      <c r="H248" s="117">
        <f>IF(OR(C248="", D248=""), "", IFERROR(VLOOKUP(C248, '03_FOOD_DATABASE'!$B$5:$L$60, 8, FALSE)*D248/100, IFERROR(VLOOKUP(C248, '04_RECIPE_DATABASE'!$B$5:$M$20, 10, FALSE)*D248, 0)))</f>
        <v/>
      </c>
      <c r="I248" s="117">
        <f>IF(OR(C248="", D248=""), "", IFERROR(VLOOKUP(C248, '03_FOOD_DATABASE'!$B$5:$L$60, 9, FALSE)*D248/100, IFERROR(VLOOKUP(C248, '04_RECIPE_DATABASE'!$B$5:$M$20, 11, FALSE)*D248, 0)))</f>
        <v/>
      </c>
      <c r="J248" s="116">
        <f>IF(OR(C248="", D248=""), "", IFERROR(VLOOKUP(C248, '03_FOOD_DATABASE'!$B$5:$L$60, 11, FALSE)*D248/100, IFERROR(VLOOKUP(C248, '04_RECIPE_DATABASE'!$B$5:$M$20, 12, FALSE)*D248, 0)))</f>
        <v/>
      </c>
      <c r="K248" s="115" t="n"/>
      <c r="L248" s="115" t="n"/>
    </row>
    <row r="249">
      <c r="A249" s="115" t="n"/>
      <c r="B249" s="115" t="n"/>
      <c r="C249" s="115" t="n"/>
      <c r="D249" s="115" t="n"/>
      <c r="E249" s="115" t="n"/>
      <c r="F249" s="116">
        <f>IF(OR(C249="", D249=""), "", IFERROR(VLOOKUP(C249, '03_FOOD_DATABASE'!$B$5:$L$60, 6, FALSE)*D249/100, IFERROR(VLOOKUP(C249, '04_RECIPE_DATABASE'!$B$5:$M$20, 8, FALSE)*D249, 0)))</f>
        <v/>
      </c>
      <c r="G249" s="117">
        <f>IF(OR(C249="", D249=""), "", IFERROR(VLOOKUP(C249, '03_FOOD_DATABASE'!$B$5:$L$60, 7, FALSE)*D249/100, IFERROR(VLOOKUP(C249, '04_RECIPE_DATABASE'!$B$5:$M$20, 9, FALSE)*D249, 0)))</f>
        <v/>
      </c>
      <c r="H249" s="117">
        <f>IF(OR(C249="", D249=""), "", IFERROR(VLOOKUP(C249, '03_FOOD_DATABASE'!$B$5:$L$60, 8, FALSE)*D249/100, IFERROR(VLOOKUP(C249, '04_RECIPE_DATABASE'!$B$5:$M$20, 10, FALSE)*D249, 0)))</f>
        <v/>
      </c>
      <c r="I249" s="117">
        <f>IF(OR(C249="", D249=""), "", IFERROR(VLOOKUP(C249, '03_FOOD_DATABASE'!$B$5:$L$60, 9, FALSE)*D249/100, IFERROR(VLOOKUP(C249, '04_RECIPE_DATABASE'!$B$5:$M$20, 11, FALSE)*D249, 0)))</f>
        <v/>
      </c>
      <c r="J249" s="116">
        <f>IF(OR(C249="", D249=""), "", IFERROR(VLOOKUP(C249, '03_FOOD_DATABASE'!$B$5:$L$60, 11, FALSE)*D249/100, IFERROR(VLOOKUP(C249, '04_RECIPE_DATABASE'!$B$5:$M$20, 12, FALSE)*D249, 0)))</f>
        <v/>
      </c>
      <c r="K249" s="115" t="n"/>
      <c r="L249" s="115" t="n"/>
    </row>
    <row r="250">
      <c r="A250" s="115" t="n"/>
      <c r="B250" s="115" t="n"/>
      <c r="C250" s="115" t="n"/>
      <c r="D250" s="115" t="n"/>
      <c r="E250" s="115" t="n"/>
      <c r="F250" s="116">
        <f>IF(OR(C250="", D250=""), "", IFERROR(VLOOKUP(C250, '03_FOOD_DATABASE'!$B$5:$L$60, 6, FALSE)*D250/100, IFERROR(VLOOKUP(C250, '04_RECIPE_DATABASE'!$B$5:$M$20, 8, FALSE)*D250, 0)))</f>
        <v/>
      </c>
      <c r="G250" s="117">
        <f>IF(OR(C250="", D250=""), "", IFERROR(VLOOKUP(C250, '03_FOOD_DATABASE'!$B$5:$L$60, 7, FALSE)*D250/100, IFERROR(VLOOKUP(C250, '04_RECIPE_DATABASE'!$B$5:$M$20, 9, FALSE)*D250, 0)))</f>
        <v/>
      </c>
      <c r="H250" s="117">
        <f>IF(OR(C250="", D250=""), "", IFERROR(VLOOKUP(C250, '03_FOOD_DATABASE'!$B$5:$L$60, 8, FALSE)*D250/100, IFERROR(VLOOKUP(C250, '04_RECIPE_DATABASE'!$B$5:$M$20, 10, FALSE)*D250, 0)))</f>
        <v/>
      </c>
      <c r="I250" s="117">
        <f>IF(OR(C250="", D250=""), "", IFERROR(VLOOKUP(C250, '03_FOOD_DATABASE'!$B$5:$L$60, 9, FALSE)*D250/100, IFERROR(VLOOKUP(C250, '04_RECIPE_DATABASE'!$B$5:$M$20, 11, FALSE)*D250, 0)))</f>
        <v/>
      </c>
      <c r="J250" s="116">
        <f>IF(OR(C250="", D250=""), "", IFERROR(VLOOKUP(C250, '03_FOOD_DATABASE'!$B$5:$L$60, 11, FALSE)*D250/100, IFERROR(VLOOKUP(C250, '04_RECIPE_DATABASE'!$B$5:$M$20, 12, FALSE)*D250, 0)))</f>
        <v/>
      </c>
      <c r="K250" s="115" t="n"/>
      <c r="L250" s="115" t="n"/>
    </row>
    <row r="251">
      <c r="A251" s="115" t="n"/>
      <c r="B251" s="115" t="n"/>
      <c r="C251" s="115" t="n"/>
      <c r="D251" s="115" t="n"/>
      <c r="E251" s="115" t="n"/>
      <c r="F251" s="116">
        <f>IF(OR(C251="", D251=""), "", IFERROR(VLOOKUP(C251, '03_FOOD_DATABASE'!$B$5:$L$60, 6, FALSE)*D251/100, IFERROR(VLOOKUP(C251, '04_RECIPE_DATABASE'!$B$5:$M$20, 8, FALSE)*D251, 0)))</f>
        <v/>
      </c>
      <c r="G251" s="117">
        <f>IF(OR(C251="", D251=""), "", IFERROR(VLOOKUP(C251, '03_FOOD_DATABASE'!$B$5:$L$60, 7, FALSE)*D251/100, IFERROR(VLOOKUP(C251, '04_RECIPE_DATABASE'!$B$5:$M$20, 9, FALSE)*D251, 0)))</f>
        <v/>
      </c>
      <c r="H251" s="117">
        <f>IF(OR(C251="", D251=""), "", IFERROR(VLOOKUP(C251, '03_FOOD_DATABASE'!$B$5:$L$60, 8, FALSE)*D251/100, IFERROR(VLOOKUP(C251, '04_RECIPE_DATABASE'!$B$5:$M$20, 10, FALSE)*D251, 0)))</f>
        <v/>
      </c>
      <c r="I251" s="117">
        <f>IF(OR(C251="", D251=""), "", IFERROR(VLOOKUP(C251, '03_FOOD_DATABASE'!$B$5:$L$60, 9, FALSE)*D251/100, IFERROR(VLOOKUP(C251, '04_RECIPE_DATABASE'!$B$5:$M$20, 11, FALSE)*D251, 0)))</f>
        <v/>
      </c>
      <c r="J251" s="116">
        <f>IF(OR(C251="", D251=""), "", IFERROR(VLOOKUP(C251, '03_FOOD_DATABASE'!$B$5:$L$60, 11, FALSE)*D251/100, IFERROR(VLOOKUP(C251, '04_RECIPE_DATABASE'!$B$5:$M$20, 12, FALSE)*D251, 0)))</f>
        <v/>
      </c>
      <c r="K251" s="115" t="n"/>
      <c r="L251" s="115" t="n"/>
    </row>
    <row r="252">
      <c r="A252" s="115" t="n"/>
      <c r="B252" s="115" t="n"/>
      <c r="C252" s="115" t="n"/>
      <c r="D252" s="115" t="n"/>
      <c r="E252" s="115" t="n"/>
      <c r="F252" s="116">
        <f>IF(OR(C252="", D252=""), "", IFERROR(VLOOKUP(C252, '03_FOOD_DATABASE'!$B$5:$L$60, 6, FALSE)*D252/100, IFERROR(VLOOKUP(C252, '04_RECIPE_DATABASE'!$B$5:$M$20, 8, FALSE)*D252, 0)))</f>
        <v/>
      </c>
      <c r="G252" s="117">
        <f>IF(OR(C252="", D252=""), "", IFERROR(VLOOKUP(C252, '03_FOOD_DATABASE'!$B$5:$L$60, 7, FALSE)*D252/100, IFERROR(VLOOKUP(C252, '04_RECIPE_DATABASE'!$B$5:$M$20, 9, FALSE)*D252, 0)))</f>
        <v/>
      </c>
      <c r="H252" s="117">
        <f>IF(OR(C252="", D252=""), "", IFERROR(VLOOKUP(C252, '03_FOOD_DATABASE'!$B$5:$L$60, 8, FALSE)*D252/100, IFERROR(VLOOKUP(C252, '04_RECIPE_DATABASE'!$B$5:$M$20, 10, FALSE)*D252, 0)))</f>
        <v/>
      </c>
      <c r="I252" s="117">
        <f>IF(OR(C252="", D252=""), "", IFERROR(VLOOKUP(C252, '03_FOOD_DATABASE'!$B$5:$L$60, 9, FALSE)*D252/100, IFERROR(VLOOKUP(C252, '04_RECIPE_DATABASE'!$B$5:$M$20, 11, FALSE)*D252, 0)))</f>
        <v/>
      </c>
      <c r="J252" s="116">
        <f>IF(OR(C252="", D252=""), "", IFERROR(VLOOKUP(C252, '03_FOOD_DATABASE'!$B$5:$L$60, 11, FALSE)*D252/100, IFERROR(VLOOKUP(C252, '04_RECIPE_DATABASE'!$B$5:$M$20, 12, FALSE)*D252, 0)))</f>
        <v/>
      </c>
      <c r="K252" s="115" t="n"/>
      <c r="L252" s="115" t="n"/>
    </row>
    <row r="253">
      <c r="A253" s="115" t="n"/>
      <c r="B253" s="115" t="n"/>
      <c r="C253" s="115" t="n"/>
      <c r="D253" s="115" t="n"/>
      <c r="E253" s="115" t="n"/>
      <c r="F253" s="116">
        <f>IF(OR(C253="", D253=""), "", IFERROR(VLOOKUP(C253, '03_FOOD_DATABASE'!$B$5:$L$60, 6, FALSE)*D253/100, IFERROR(VLOOKUP(C253, '04_RECIPE_DATABASE'!$B$5:$M$20, 8, FALSE)*D253, 0)))</f>
        <v/>
      </c>
      <c r="G253" s="117">
        <f>IF(OR(C253="", D253=""), "", IFERROR(VLOOKUP(C253, '03_FOOD_DATABASE'!$B$5:$L$60, 7, FALSE)*D253/100, IFERROR(VLOOKUP(C253, '04_RECIPE_DATABASE'!$B$5:$M$20, 9, FALSE)*D253, 0)))</f>
        <v/>
      </c>
      <c r="H253" s="117">
        <f>IF(OR(C253="", D253=""), "", IFERROR(VLOOKUP(C253, '03_FOOD_DATABASE'!$B$5:$L$60, 8, FALSE)*D253/100, IFERROR(VLOOKUP(C253, '04_RECIPE_DATABASE'!$B$5:$M$20, 10, FALSE)*D253, 0)))</f>
        <v/>
      </c>
      <c r="I253" s="117">
        <f>IF(OR(C253="", D253=""), "", IFERROR(VLOOKUP(C253, '03_FOOD_DATABASE'!$B$5:$L$60, 9, FALSE)*D253/100, IFERROR(VLOOKUP(C253, '04_RECIPE_DATABASE'!$B$5:$M$20, 11, FALSE)*D253, 0)))</f>
        <v/>
      </c>
      <c r="J253" s="116">
        <f>IF(OR(C253="", D253=""), "", IFERROR(VLOOKUP(C253, '03_FOOD_DATABASE'!$B$5:$L$60, 11, FALSE)*D253/100, IFERROR(VLOOKUP(C253, '04_RECIPE_DATABASE'!$B$5:$M$20, 12, FALSE)*D253, 0)))</f>
        <v/>
      </c>
      <c r="K253" s="115" t="n"/>
      <c r="L253" s="115" t="n"/>
    </row>
    <row r="254">
      <c r="A254" s="115" t="n"/>
      <c r="B254" s="115" t="n"/>
      <c r="C254" s="115" t="n"/>
      <c r="D254" s="115" t="n"/>
      <c r="E254" s="115" t="n"/>
      <c r="F254" s="116">
        <f>IF(OR(C254="", D254=""), "", IFERROR(VLOOKUP(C254, '03_FOOD_DATABASE'!$B$5:$L$60, 6, FALSE)*D254/100, IFERROR(VLOOKUP(C254, '04_RECIPE_DATABASE'!$B$5:$M$20, 8, FALSE)*D254, 0)))</f>
        <v/>
      </c>
      <c r="G254" s="117">
        <f>IF(OR(C254="", D254=""), "", IFERROR(VLOOKUP(C254, '03_FOOD_DATABASE'!$B$5:$L$60, 7, FALSE)*D254/100, IFERROR(VLOOKUP(C254, '04_RECIPE_DATABASE'!$B$5:$M$20, 9, FALSE)*D254, 0)))</f>
        <v/>
      </c>
      <c r="H254" s="117">
        <f>IF(OR(C254="", D254=""), "", IFERROR(VLOOKUP(C254, '03_FOOD_DATABASE'!$B$5:$L$60, 8, FALSE)*D254/100, IFERROR(VLOOKUP(C254, '04_RECIPE_DATABASE'!$B$5:$M$20, 10, FALSE)*D254, 0)))</f>
        <v/>
      </c>
      <c r="I254" s="117">
        <f>IF(OR(C254="", D254=""), "", IFERROR(VLOOKUP(C254, '03_FOOD_DATABASE'!$B$5:$L$60, 9, FALSE)*D254/100, IFERROR(VLOOKUP(C254, '04_RECIPE_DATABASE'!$B$5:$M$20, 11, FALSE)*D254, 0)))</f>
        <v/>
      </c>
      <c r="J254" s="116">
        <f>IF(OR(C254="", D254=""), "", IFERROR(VLOOKUP(C254, '03_FOOD_DATABASE'!$B$5:$L$60, 11, FALSE)*D254/100, IFERROR(VLOOKUP(C254, '04_RECIPE_DATABASE'!$B$5:$M$20, 12, FALSE)*D254, 0)))</f>
        <v/>
      </c>
      <c r="K254" s="115" t="n"/>
      <c r="L254" s="115" t="n"/>
    </row>
    <row r="255">
      <c r="A255" s="115" t="n"/>
      <c r="B255" s="115" t="n"/>
      <c r="C255" s="115" t="n"/>
      <c r="D255" s="115" t="n"/>
      <c r="E255" s="115" t="n"/>
      <c r="F255" s="116">
        <f>IF(OR(C255="", D255=""), "", IFERROR(VLOOKUP(C255, '03_FOOD_DATABASE'!$B$5:$L$60, 6, FALSE)*D255/100, IFERROR(VLOOKUP(C255, '04_RECIPE_DATABASE'!$B$5:$M$20, 8, FALSE)*D255, 0)))</f>
        <v/>
      </c>
      <c r="G255" s="117">
        <f>IF(OR(C255="", D255=""), "", IFERROR(VLOOKUP(C255, '03_FOOD_DATABASE'!$B$5:$L$60, 7, FALSE)*D255/100, IFERROR(VLOOKUP(C255, '04_RECIPE_DATABASE'!$B$5:$M$20, 9, FALSE)*D255, 0)))</f>
        <v/>
      </c>
      <c r="H255" s="117">
        <f>IF(OR(C255="", D255=""), "", IFERROR(VLOOKUP(C255, '03_FOOD_DATABASE'!$B$5:$L$60, 8, FALSE)*D255/100, IFERROR(VLOOKUP(C255, '04_RECIPE_DATABASE'!$B$5:$M$20, 10, FALSE)*D255, 0)))</f>
        <v/>
      </c>
      <c r="I255" s="117">
        <f>IF(OR(C255="", D255=""), "", IFERROR(VLOOKUP(C255, '03_FOOD_DATABASE'!$B$5:$L$60, 9, FALSE)*D255/100, IFERROR(VLOOKUP(C255, '04_RECIPE_DATABASE'!$B$5:$M$20, 11, FALSE)*D255, 0)))</f>
        <v/>
      </c>
      <c r="J255" s="116">
        <f>IF(OR(C255="", D255=""), "", IFERROR(VLOOKUP(C255, '03_FOOD_DATABASE'!$B$5:$L$60, 11, FALSE)*D255/100, IFERROR(VLOOKUP(C255, '04_RECIPE_DATABASE'!$B$5:$M$20, 12, FALSE)*D255, 0)))</f>
        <v/>
      </c>
      <c r="K255" s="115" t="n"/>
      <c r="L255" s="115" t="n"/>
    </row>
    <row r="256">
      <c r="A256" s="115" t="n"/>
      <c r="B256" s="115" t="n"/>
      <c r="C256" s="115" t="n"/>
      <c r="D256" s="115" t="n"/>
      <c r="E256" s="115" t="n"/>
      <c r="F256" s="116">
        <f>IF(OR(C256="", D256=""), "", IFERROR(VLOOKUP(C256, '03_FOOD_DATABASE'!$B$5:$L$60, 6, FALSE)*D256/100, IFERROR(VLOOKUP(C256, '04_RECIPE_DATABASE'!$B$5:$M$20, 8, FALSE)*D256, 0)))</f>
        <v/>
      </c>
      <c r="G256" s="117">
        <f>IF(OR(C256="", D256=""), "", IFERROR(VLOOKUP(C256, '03_FOOD_DATABASE'!$B$5:$L$60, 7, FALSE)*D256/100, IFERROR(VLOOKUP(C256, '04_RECIPE_DATABASE'!$B$5:$M$20, 9, FALSE)*D256, 0)))</f>
        <v/>
      </c>
      <c r="H256" s="117">
        <f>IF(OR(C256="", D256=""), "", IFERROR(VLOOKUP(C256, '03_FOOD_DATABASE'!$B$5:$L$60, 8, FALSE)*D256/100, IFERROR(VLOOKUP(C256, '04_RECIPE_DATABASE'!$B$5:$M$20, 10, FALSE)*D256, 0)))</f>
        <v/>
      </c>
      <c r="I256" s="117">
        <f>IF(OR(C256="", D256=""), "", IFERROR(VLOOKUP(C256, '03_FOOD_DATABASE'!$B$5:$L$60, 9, FALSE)*D256/100, IFERROR(VLOOKUP(C256, '04_RECIPE_DATABASE'!$B$5:$M$20, 11, FALSE)*D256, 0)))</f>
        <v/>
      </c>
      <c r="J256" s="116">
        <f>IF(OR(C256="", D256=""), "", IFERROR(VLOOKUP(C256, '03_FOOD_DATABASE'!$B$5:$L$60, 11, FALSE)*D256/100, IFERROR(VLOOKUP(C256, '04_RECIPE_DATABASE'!$B$5:$M$20, 12, FALSE)*D256, 0)))</f>
        <v/>
      </c>
      <c r="K256" s="115" t="n"/>
      <c r="L256" s="115" t="n"/>
    </row>
    <row r="257">
      <c r="A257" s="115" t="n"/>
      <c r="B257" s="115" t="n"/>
      <c r="C257" s="115" t="n"/>
      <c r="D257" s="115" t="n"/>
      <c r="E257" s="115" t="n"/>
      <c r="F257" s="116">
        <f>IF(OR(C257="", D257=""), "", IFERROR(VLOOKUP(C257, '03_FOOD_DATABASE'!$B$5:$L$60, 6, FALSE)*D257/100, IFERROR(VLOOKUP(C257, '04_RECIPE_DATABASE'!$B$5:$M$20, 8, FALSE)*D257, 0)))</f>
        <v/>
      </c>
      <c r="G257" s="117">
        <f>IF(OR(C257="", D257=""), "", IFERROR(VLOOKUP(C257, '03_FOOD_DATABASE'!$B$5:$L$60, 7, FALSE)*D257/100, IFERROR(VLOOKUP(C257, '04_RECIPE_DATABASE'!$B$5:$M$20, 9, FALSE)*D257, 0)))</f>
        <v/>
      </c>
      <c r="H257" s="117">
        <f>IF(OR(C257="", D257=""), "", IFERROR(VLOOKUP(C257, '03_FOOD_DATABASE'!$B$5:$L$60, 8, FALSE)*D257/100, IFERROR(VLOOKUP(C257, '04_RECIPE_DATABASE'!$B$5:$M$20, 10, FALSE)*D257, 0)))</f>
        <v/>
      </c>
      <c r="I257" s="117">
        <f>IF(OR(C257="", D257=""), "", IFERROR(VLOOKUP(C257, '03_FOOD_DATABASE'!$B$5:$L$60, 9, FALSE)*D257/100, IFERROR(VLOOKUP(C257, '04_RECIPE_DATABASE'!$B$5:$M$20, 11, FALSE)*D257, 0)))</f>
        <v/>
      </c>
      <c r="J257" s="116">
        <f>IF(OR(C257="", D257=""), "", IFERROR(VLOOKUP(C257, '03_FOOD_DATABASE'!$B$5:$L$60, 11, FALSE)*D257/100, IFERROR(VLOOKUP(C257, '04_RECIPE_DATABASE'!$B$5:$M$20, 12, FALSE)*D257, 0)))</f>
        <v/>
      </c>
      <c r="K257" s="115" t="n"/>
      <c r="L257" s="115" t="n"/>
    </row>
    <row r="258">
      <c r="A258" s="115" t="n"/>
      <c r="B258" s="115" t="n"/>
      <c r="C258" s="115" t="n"/>
      <c r="D258" s="115" t="n"/>
      <c r="E258" s="115" t="n"/>
      <c r="F258" s="116">
        <f>IF(OR(C258="", D258=""), "", IFERROR(VLOOKUP(C258, '03_FOOD_DATABASE'!$B$5:$L$60, 6, FALSE)*D258/100, IFERROR(VLOOKUP(C258, '04_RECIPE_DATABASE'!$B$5:$M$20, 8, FALSE)*D258, 0)))</f>
        <v/>
      </c>
      <c r="G258" s="117">
        <f>IF(OR(C258="", D258=""), "", IFERROR(VLOOKUP(C258, '03_FOOD_DATABASE'!$B$5:$L$60, 7, FALSE)*D258/100, IFERROR(VLOOKUP(C258, '04_RECIPE_DATABASE'!$B$5:$M$20, 9, FALSE)*D258, 0)))</f>
        <v/>
      </c>
      <c r="H258" s="117">
        <f>IF(OR(C258="", D258=""), "", IFERROR(VLOOKUP(C258, '03_FOOD_DATABASE'!$B$5:$L$60, 8, FALSE)*D258/100, IFERROR(VLOOKUP(C258, '04_RECIPE_DATABASE'!$B$5:$M$20, 10, FALSE)*D258, 0)))</f>
        <v/>
      </c>
      <c r="I258" s="117">
        <f>IF(OR(C258="", D258=""), "", IFERROR(VLOOKUP(C258, '03_FOOD_DATABASE'!$B$5:$L$60, 9, FALSE)*D258/100, IFERROR(VLOOKUP(C258, '04_RECIPE_DATABASE'!$B$5:$M$20, 11, FALSE)*D258, 0)))</f>
        <v/>
      </c>
      <c r="J258" s="116">
        <f>IF(OR(C258="", D258=""), "", IFERROR(VLOOKUP(C258, '03_FOOD_DATABASE'!$B$5:$L$60, 11, FALSE)*D258/100, IFERROR(VLOOKUP(C258, '04_RECIPE_DATABASE'!$B$5:$M$20, 12, FALSE)*D258, 0)))</f>
        <v/>
      </c>
      <c r="K258" s="115" t="n"/>
      <c r="L258" s="115" t="n"/>
    </row>
    <row r="259">
      <c r="A259" s="115" t="n"/>
      <c r="B259" s="115" t="n"/>
      <c r="C259" s="115" t="n"/>
      <c r="D259" s="115" t="n"/>
      <c r="E259" s="115" t="n"/>
      <c r="F259" s="116">
        <f>IF(OR(C259="", D259=""), "", IFERROR(VLOOKUP(C259, '03_FOOD_DATABASE'!$B$5:$L$60, 6, FALSE)*D259/100, IFERROR(VLOOKUP(C259, '04_RECIPE_DATABASE'!$B$5:$M$20, 8, FALSE)*D259, 0)))</f>
        <v/>
      </c>
      <c r="G259" s="117">
        <f>IF(OR(C259="", D259=""), "", IFERROR(VLOOKUP(C259, '03_FOOD_DATABASE'!$B$5:$L$60, 7, FALSE)*D259/100, IFERROR(VLOOKUP(C259, '04_RECIPE_DATABASE'!$B$5:$M$20, 9, FALSE)*D259, 0)))</f>
        <v/>
      </c>
      <c r="H259" s="117">
        <f>IF(OR(C259="", D259=""), "", IFERROR(VLOOKUP(C259, '03_FOOD_DATABASE'!$B$5:$L$60, 8, FALSE)*D259/100, IFERROR(VLOOKUP(C259, '04_RECIPE_DATABASE'!$B$5:$M$20, 10, FALSE)*D259, 0)))</f>
        <v/>
      </c>
      <c r="I259" s="117">
        <f>IF(OR(C259="", D259=""), "", IFERROR(VLOOKUP(C259, '03_FOOD_DATABASE'!$B$5:$L$60, 9, FALSE)*D259/100, IFERROR(VLOOKUP(C259, '04_RECIPE_DATABASE'!$B$5:$M$20, 11, FALSE)*D259, 0)))</f>
        <v/>
      </c>
      <c r="J259" s="116">
        <f>IF(OR(C259="", D259=""), "", IFERROR(VLOOKUP(C259, '03_FOOD_DATABASE'!$B$5:$L$60, 11, FALSE)*D259/100, IFERROR(VLOOKUP(C259, '04_RECIPE_DATABASE'!$B$5:$M$20, 12, FALSE)*D259, 0)))</f>
        <v/>
      </c>
      <c r="K259" s="115" t="n"/>
      <c r="L259" s="115" t="n"/>
    </row>
    <row r="260">
      <c r="A260" s="115" t="n"/>
      <c r="B260" s="115" t="n"/>
      <c r="C260" s="115" t="n"/>
      <c r="D260" s="115" t="n"/>
      <c r="E260" s="115" t="n"/>
      <c r="F260" s="116">
        <f>IF(OR(C260="", D260=""), "", IFERROR(VLOOKUP(C260, '03_FOOD_DATABASE'!$B$5:$L$60, 6, FALSE)*D260/100, IFERROR(VLOOKUP(C260, '04_RECIPE_DATABASE'!$B$5:$M$20, 8, FALSE)*D260, 0)))</f>
        <v/>
      </c>
      <c r="G260" s="117">
        <f>IF(OR(C260="", D260=""), "", IFERROR(VLOOKUP(C260, '03_FOOD_DATABASE'!$B$5:$L$60, 7, FALSE)*D260/100, IFERROR(VLOOKUP(C260, '04_RECIPE_DATABASE'!$B$5:$M$20, 9, FALSE)*D260, 0)))</f>
        <v/>
      </c>
      <c r="H260" s="117">
        <f>IF(OR(C260="", D260=""), "", IFERROR(VLOOKUP(C260, '03_FOOD_DATABASE'!$B$5:$L$60, 8, FALSE)*D260/100, IFERROR(VLOOKUP(C260, '04_RECIPE_DATABASE'!$B$5:$M$20, 10, FALSE)*D260, 0)))</f>
        <v/>
      </c>
      <c r="I260" s="117">
        <f>IF(OR(C260="", D260=""), "", IFERROR(VLOOKUP(C260, '03_FOOD_DATABASE'!$B$5:$L$60, 9, FALSE)*D260/100, IFERROR(VLOOKUP(C260, '04_RECIPE_DATABASE'!$B$5:$M$20, 11, FALSE)*D260, 0)))</f>
        <v/>
      </c>
      <c r="J260" s="116">
        <f>IF(OR(C260="", D260=""), "", IFERROR(VLOOKUP(C260, '03_FOOD_DATABASE'!$B$5:$L$60, 11, FALSE)*D260/100, IFERROR(VLOOKUP(C260, '04_RECIPE_DATABASE'!$B$5:$M$20, 12, FALSE)*D260, 0)))</f>
        <v/>
      </c>
      <c r="K260" s="115" t="n"/>
      <c r="L260" s="115" t="n"/>
    </row>
    <row r="261">
      <c r="A261" s="115" t="n"/>
      <c r="B261" s="115" t="n"/>
      <c r="C261" s="115" t="n"/>
      <c r="D261" s="115" t="n"/>
      <c r="E261" s="115" t="n"/>
      <c r="F261" s="116">
        <f>IF(OR(C261="", D261=""), "", IFERROR(VLOOKUP(C261, '03_FOOD_DATABASE'!$B$5:$L$60, 6, FALSE)*D261/100, IFERROR(VLOOKUP(C261, '04_RECIPE_DATABASE'!$B$5:$M$20, 8, FALSE)*D261, 0)))</f>
        <v/>
      </c>
      <c r="G261" s="117">
        <f>IF(OR(C261="", D261=""), "", IFERROR(VLOOKUP(C261, '03_FOOD_DATABASE'!$B$5:$L$60, 7, FALSE)*D261/100, IFERROR(VLOOKUP(C261, '04_RECIPE_DATABASE'!$B$5:$M$20, 9, FALSE)*D261, 0)))</f>
        <v/>
      </c>
      <c r="H261" s="117">
        <f>IF(OR(C261="", D261=""), "", IFERROR(VLOOKUP(C261, '03_FOOD_DATABASE'!$B$5:$L$60, 8, FALSE)*D261/100, IFERROR(VLOOKUP(C261, '04_RECIPE_DATABASE'!$B$5:$M$20, 10, FALSE)*D261, 0)))</f>
        <v/>
      </c>
      <c r="I261" s="117">
        <f>IF(OR(C261="", D261=""), "", IFERROR(VLOOKUP(C261, '03_FOOD_DATABASE'!$B$5:$L$60, 9, FALSE)*D261/100, IFERROR(VLOOKUP(C261, '04_RECIPE_DATABASE'!$B$5:$M$20, 11, FALSE)*D261, 0)))</f>
        <v/>
      </c>
      <c r="J261" s="116">
        <f>IF(OR(C261="", D261=""), "", IFERROR(VLOOKUP(C261, '03_FOOD_DATABASE'!$B$5:$L$60, 11, FALSE)*D261/100, IFERROR(VLOOKUP(C261, '04_RECIPE_DATABASE'!$B$5:$M$20, 12, FALSE)*D261, 0)))</f>
        <v/>
      </c>
      <c r="K261" s="115" t="n"/>
      <c r="L261" s="115" t="n"/>
    </row>
    <row r="262">
      <c r="A262" s="115" t="n"/>
      <c r="B262" s="115" t="n"/>
      <c r="C262" s="115" t="n"/>
      <c r="D262" s="115" t="n"/>
      <c r="E262" s="115" t="n"/>
      <c r="F262" s="116">
        <f>IF(OR(C262="", D262=""), "", IFERROR(VLOOKUP(C262, '03_FOOD_DATABASE'!$B$5:$L$60, 6, FALSE)*D262/100, IFERROR(VLOOKUP(C262, '04_RECIPE_DATABASE'!$B$5:$M$20, 8, FALSE)*D262, 0)))</f>
        <v/>
      </c>
      <c r="G262" s="117">
        <f>IF(OR(C262="", D262=""), "", IFERROR(VLOOKUP(C262, '03_FOOD_DATABASE'!$B$5:$L$60, 7, FALSE)*D262/100, IFERROR(VLOOKUP(C262, '04_RECIPE_DATABASE'!$B$5:$M$20, 9, FALSE)*D262, 0)))</f>
        <v/>
      </c>
      <c r="H262" s="117">
        <f>IF(OR(C262="", D262=""), "", IFERROR(VLOOKUP(C262, '03_FOOD_DATABASE'!$B$5:$L$60, 8, FALSE)*D262/100, IFERROR(VLOOKUP(C262, '04_RECIPE_DATABASE'!$B$5:$M$20, 10, FALSE)*D262, 0)))</f>
        <v/>
      </c>
      <c r="I262" s="117">
        <f>IF(OR(C262="", D262=""), "", IFERROR(VLOOKUP(C262, '03_FOOD_DATABASE'!$B$5:$L$60, 9, FALSE)*D262/100, IFERROR(VLOOKUP(C262, '04_RECIPE_DATABASE'!$B$5:$M$20, 11, FALSE)*D262, 0)))</f>
        <v/>
      </c>
      <c r="J262" s="116">
        <f>IF(OR(C262="", D262=""), "", IFERROR(VLOOKUP(C262, '03_FOOD_DATABASE'!$B$5:$L$60, 11, FALSE)*D262/100, IFERROR(VLOOKUP(C262, '04_RECIPE_DATABASE'!$B$5:$M$20, 12, FALSE)*D262, 0)))</f>
        <v/>
      </c>
      <c r="K262" s="115" t="n"/>
      <c r="L262" s="115" t="n"/>
    </row>
    <row r="263">
      <c r="A263" s="115" t="n"/>
      <c r="B263" s="115" t="n"/>
      <c r="C263" s="115" t="n"/>
      <c r="D263" s="115" t="n"/>
      <c r="E263" s="115" t="n"/>
      <c r="F263" s="116">
        <f>IF(OR(C263="", D263=""), "", IFERROR(VLOOKUP(C263, '03_FOOD_DATABASE'!$B$5:$L$60, 6, FALSE)*D263/100, IFERROR(VLOOKUP(C263, '04_RECIPE_DATABASE'!$B$5:$M$20, 8, FALSE)*D263, 0)))</f>
        <v/>
      </c>
      <c r="G263" s="117">
        <f>IF(OR(C263="", D263=""), "", IFERROR(VLOOKUP(C263, '03_FOOD_DATABASE'!$B$5:$L$60, 7, FALSE)*D263/100, IFERROR(VLOOKUP(C263, '04_RECIPE_DATABASE'!$B$5:$M$20, 9, FALSE)*D263, 0)))</f>
        <v/>
      </c>
      <c r="H263" s="117">
        <f>IF(OR(C263="", D263=""), "", IFERROR(VLOOKUP(C263, '03_FOOD_DATABASE'!$B$5:$L$60, 8, FALSE)*D263/100, IFERROR(VLOOKUP(C263, '04_RECIPE_DATABASE'!$B$5:$M$20, 10, FALSE)*D263, 0)))</f>
        <v/>
      </c>
      <c r="I263" s="117">
        <f>IF(OR(C263="", D263=""), "", IFERROR(VLOOKUP(C263, '03_FOOD_DATABASE'!$B$5:$L$60, 9, FALSE)*D263/100, IFERROR(VLOOKUP(C263, '04_RECIPE_DATABASE'!$B$5:$M$20, 11, FALSE)*D263, 0)))</f>
        <v/>
      </c>
      <c r="J263" s="116">
        <f>IF(OR(C263="", D263=""), "", IFERROR(VLOOKUP(C263, '03_FOOD_DATABASE'!$B$5:$L$60, 11, FALSE)*D263/100, IFERROR(VLOOKUP(C263, '04_RECIPE_DATABASE'!$B$5:$M$20, 12, FALSE)*D263, 0)))</f>
        <v/>
      </c>
      <c r="K263" s="115" t="n"/>
      <c r="L263" s="115" t="n"/>
    </row>
    <row r="264">
      <c r="A264" s="115" t="n"/>
      <c r="B264" s="115" t="n"/>
      <c r="C264" s="115" t="n"/>
      <c r="D264" s="115" t="n"/>
      <c r="E264" s="115" t="n"/>
      <c r="F264" s="116">
        <f>IF(OR(C264="", D264=""), "", IFERROR(VLOOKUP(C264, '03_FOOD_DATABASE'!$B$5:$L$60, 6, FALSE)*D264/100, IFERROR(VLOOKUP(C264, '04_RECIPE_DATABASE'!$B$5:$M$20, 8, FALSE)*D264, 0)))</f>
        <v/>
      </c>
      <c r="G264" s="117">
        <f>IF(OR(C264="", D264=""), "", IFERROR(VLOOKUP(C264, '03_FOOD_DATABASE'!$B$5:$L$60, 7, FALSE)*D264/100, IFERROR(VLOOKUP(C264, '04_RECIPE_DATABASE'!$B$5:$M$20, 9, FALSE)*D264, 0)))</f>
        <v/>
      </c>
      <c r="H264" s="117">
        <f>IF(OR(C264="", D264=""), "", IFERROR(VLOOKUP(C264, '03_FOOD_DATABASE'!$B$5:$L$60, 8, FALSE)*D264/100, IFERROR(VLOOKUP(C264, '04_RECIPE_DATABASE'!$B$5:$M$20, 10, FALSE)*D264, 0)))</f>
        <v/>
      </c>
      <c r="I264" s="117">
        <f>IF(OR(C264="", D264=""), "", IFERROR(VLOOKUP(C264, '03_FOOD_DATABASE'!$B$5:$L$60, 9, FALSE)*D264/100, IFERROR(VLOOKUP(C264, '04_RECIPE_DATABASE'!$B$5:$M$20, 11, FALSE)*D264, 0)))</f>
        <v/>
      </c>
      <c r="J264" s="116">
        <f>IF(OR(C264="", D264=""), "", IFERROR(VLOOKUP(C264, '03_FOOD_DATABASE'!$B$5:$L$60, 11, FALSE)*D264/100, IFERROR(VLOOKUP(C264, '04_RECIPE_DATABASE'!$B$5:$M$20, 12, FALSE)*D264, 0)))</f>
        <v/>
      </c>
      <c r="K264" s="115" t="n"/>
      <c r="L264" s="115" t="n"/>
    </row>
    <row r="265">
      <c r="A265" s="115" t="n"/>
      <c r="B265" s="115" t="n"/>
      <c r="C265" s="115" t="n"/>
      <c r="D265" s="115" t="n"/>
      <c r="E265" s="115" t="n"/>
      <c r="F265" s="116">
        <f>IF(OR(C265="", D265=""), "", IFERROR(VLOOKUP(C265, '03_FOOD_DATABASE'!$B$5:$L$60, 6, FALSE)*D265/100, IFERROR(VLOOKUP(C265, '04_RECIPE_DATABASE'!$B$5:$M$20, 8, FALSE)*D265, 0)))</f>
        <v/>
      </c>
      <c r="G265" s="117">
        <f>IF(OR(C265="", D265=""), "", IFERROR(VLOOKUP(C265, '03_FOOD_DATABASE'!$B$5:$L$60, 7, FALSE)*D265/100, IFERROR(VLOOKUP(C265, '04_RECIPE_DATABASE'!$B$5:$M$20, 9, FALSE)*D265, 0)))</f>
        <v/>
      </c>
      <c r="H265" s="117">
        <f>IF(OR(C265="", D265=""), "", IFERROR(VLOOKUP(C265, '03_FOOD_DATABASE'!$B$5:$L$60, 8, FALSE)*D265/100, IFERROR(VLOOKUP(C265, '04_RECIPE_DATABASE'!$B$5:$M$20, 10, FALSE)*D265, 0)))</f>
        <v/>
      </c>
      <c r="I265" s="117">
        <f>IF(OR(C265="", D265=""), "", IFERROR(VLOOKUP(C265, '03_FOOD_DATABASE'!$B$5:$L$60, 9, FALSE)*D265/100, IFERROR(VLOOKUP(C265, '04_RECIPE_DATABASE'!$B$5:$M$20, 11, FALSE)*D265, 0)))</f>
        <v/>
      </c>
      <c r="J265" s="116">
        <f>IF(OR(C265="", D265=""), "", IFERROR(VLOOKUP(C265, '03_FOOD_DATABASE'!$B$5:$L$60, 11, FALSE)*D265/100, IFERROR(VLOOKUP(C265, '04_RECIPE_DATABASE'!$B$5:$M$20, 12, FALSE)*D265, 0)))</f>
        <v/>
      </c>
      <c r="K265" s="115" t="n"/>
      <c r="L265" s="115" t="n"/>
    </row>
    <row r="266">
      <c r="A266" s="115" t="n"/>
      <c r="B266" s="115" t="n"/>
      <c r="C266" s="115" t="n"/>
      <c r="D266" s="115" t="n"/>
      <c r="E266" s="115" t="n"/>
      <c r="F266" s="116">
        <f>IF(OR(C266="", D266=""), "", IFERROR(VLOOKUP(C266, '03_FOOD_DATABASE'!$B$5:$L$60, 6, FALSE)*D266/100, IFERROR(VLOOKUP(C266, '04_RECIPE_DATABASE'!$B$5:$M$20, 8, FALSE)*D266, 0)))</f>
        <v/>
      </c>
      <c r="G266" s="117">
        <f>IF(OR(C266="", D266=""), "", IFERROR(VLOOKUP(C266, '03_FOOD_DATABASE'!$B$5:$L$60, 7, FALSE)*D266/100, IFERROR(VLOOKUP(C266, '04_RECIPE_DATABASE'!$B$5:$M$20, 9, FALSE)*D266, 0)))</f>
        <v/>
      </c>
      <c r="H266" s="117">
        <f>IF(OR(C266="", D266=""), "", IFERROR(VLOOKUP(C266, '03_FOOD_DATABASE'!$B$5:$L$60, 8, FALSE)*D266/100, IFERROR(VLOOKUP(C266, '04_RECIPE_DATABASE'!$B$5:$M$20, 10, FALSE)*D266, 0)))</f>
        <v/>
      </c>
      <c r="I266" s="117">
        <f>IF(OR(C266="", D266=""), "", IFERROR(VLOOKUP(C266, '03_FOOD_DATABASE'!$B$5:$L$60, 9, FALSE)*D266/100, IFERROR(VLOOKUP(C266, '04_RECIPE_DATABASE'!$B$5:$M$20, 11, FALSE)*D266, 0)))</f>
        <v/>
      </c>
      <c r="J266" s="116">
        <f>IF(OR(C266="", D266=""), "", IFERROR(VLOOKUP(C266, '03_FOOD_DATABASE'!$B$5:$L$60, 11, FALSE)*D266/100, IFERROR(VLOOKUP(C266, '04_RECIPE_DATABASE'!$B$5:$M$20, 12, FALSE)*D266, 0)))</f>
        <v/>
      </c>
      <c r="K266" s="115" t="n"/>
      <c r="L266" s="115" t="n"/>
    </row>
    <row r="267">
      <c r="A267" s="115" t="n"/>
      <c r="B267" s="115" t="n"/>
      <c r="C267" s="115" t="n"/>
      <c r="D267" s="115" t="n"/>
      <c r="E267" s="115" t="n"/>
      <c r="F267" s="116">
        <f>IF(OR(C267="", D267=""), "", IFERROR(VLOOKUP(C267, '03_FOOD_DATABASE'!$B$5:$L$60, 6, FALSE)*D267/100, IFERROR(VLOOKUP(C267, '04_RECIPE_DATABASE'!$B$5:$M$20, 8, FALSE)*D267, 0)))</f>
        <v/>
      </c>
      <c r="G267" s="117">
        <f>IF(OR(C267="", D267=""), "", IFERROR(VLOOKUP(C267, '03_FOOD_DATABASE'!$B$5:$L$60, 7, FALSE)*D267/100, IFERROR(VLOOKUP(C267, '04_RECIPE_DATABASE'!$B$5:$M$20, 9, FALSE)*D267, 0)))</f>
        <v/>
      </c>
      <c r="H267" s="117">
        <f>IF(OR(C267="", D267=""), "", IFERROR(VLOOKUP(C267, '03_FOOD_DATABASE'!$B$5:$L$60, 8, FALSE)*D267/100, IFERROR(VLOOKUP(C267, '04_RECIPE_DATABASE'!$B$5:$M$20, 10, FALSE)*D267, 0)))</f>
        <v/>
      </c>
      <c r="I267" s="117">
        <f>IF(OR(C267="", D267=""), "", IFERROR(VLOOKUP(C267, '03_FOOD_DATABASE'!$B$5:$L$60, 9, FALSE)*D267/100, IFERROR(VLOOKUP(C267, '04_RECIPE_DATABASE'!$B$5:$M$20, 11, FALSE)*D267, 0)))</f>
        <v/>
      </c>
      <c r="J267" s="116">
        <f>IF(OR(C267="", D267=""), "", IFERROR(VLOOKUP(C267, '03_FOOD_DATABASE'!$B$5:$L$60, 11, FALSE)*D267/100, IFERROR(VLOOKUP(C267, '04_RECIPE_DATABASE'!$B$5:$M$20, 12, FALSE)*D267, 0)))</f>
        <v/>
      </c>
      <c r="K267" s="115" t="n"/>
      <c r="L267" s="115" t="n"/>
    </row>
    <row r="268">
      <c r="A268" s="115" t="n"/>
      <c r="B268" s="115" t="n"/>
      <c r="C268" s="115" t="n"/>
      <c r="D268" s="115" t="n"/>
      <c r="E268" s="115" t="n"/>
      <c r="F268" s="116">
        <f>IF(OR(C268="", D268=""), "", IFERROR(VLOOKUP(C268, '03_FOOD_DATABASE'!$B$5:$L$60, 6, FALSE)*D268/100, IFERROR(VLOOKUP(C268, '04_RECIPE_DATABASE'!$B$5:$M$20, 8, FALSE)*D268, 0)))</f>
        <v/>
      </c>
      <c r="G268" s="117">
        <f>IF(OR(C268="", D268=""), "", IFERROR(VLOOKUP(C268, '03_FOOD_DATABASE'!$B$5:$L$60, 7, FALSE)*D268/100, IFERROR(VLOOKUP(C268, '04_RECIPE_DATABASE'!$B$5:$M$20, 9, FALSE)*D268, 0)))</f>
        <v/>
      </c>
      <c r="H268" s="117">
        <f>IF(OR(C268="", D268=""), "", IFERROR(VLOOKUP(C268, '03_FOOD_DATABASE'!$B$5:$L$60, 8, FALSE)*D268/100, IFERROR(VLOOKUP(C268, '04_RECIPE_DATABASE'!$B$5:$M$20, 10, FALSE)*D268, 0)))</f>
        <v/>
      </c>
      <c r="I268" s="117">
        <f>IF(OR(C268="", D268=""), "", IFERROR(VLOOKUP(C268, '03_FOOD_DATABASE'!$B$5:$L$60, 9, FALSE)*D268/100, IFERROR(VLOOKUP(C268, '04_RECIPE_DATABASE'!$B$5:$M$20, 11, FALSE)*D268, 0)))</f>
        <v/>
      </c>
      <c r="J268" s="116">
        <f>IF(OR(C268="", D268=""), "", IFERROR(VLOOKUP(C268, '03_FOOD_DATABASE'!$B$5:$L$60, 11, FALSE)*D268/100, IFERROR(VLOOKUP(C268, '04_RECIPE_DATABASE'!$B$5:$M$20, 12, FALSE)*D268, 0)))</f>
        <v/>
      </c>
      <c r="K268" s="115" t="n"/>
      <c r="L268" s="115" t="n"/>
    </row>
    <row r="269">
      <c r="A269" s="115" t="n"/>
      <c r="B269" s="115" t="n"/>
      <c r="C269" s="115" t="n"/>
      <c r="D269" s="115" t="n"/>
      <c r="E269" s="115" t="n"/>
      <c r="F269" s="116">
        <f>IF(OR(C269="", D269=""), "", IFERROR(VLOOKUP(C269, '03_FOOD_DATABASE'!$B$5:$L$60, 6, FALSE)*D269/100, IFERROR(VLOOKUP(C269, '04_RECIPE_DATABASE'!$B$5:$M$20, 8, FALSE)*D269, 0)))</f>
        <v/>
      </c>
      <c r="G269" s="117">
        <f>IF(OR(C269="", D269=""), "", IFERROR(VLOOKUP(C269, '03_FOOD_DATABASE'!$B$5:$L$60, 7, FALSE)*D269/100, IFERROR(VLOOKUP(C269, '04_RECIPE_DATABASE'!$B$5:$M$20, 9, FALSE)*D269, 0)))</f>
        <v/>
      </c>
      <c r="H269" s="117">
        <f>IF(OR(C269="", D269=""), "", IFERROR(VLOOKUP(C269, '03_FOOD_DATABASE'!$B$5:$L$60, 8, FALSE)*D269/100, IFERROR(VLOOKUP(C269, '04_RECIPE_DATABASE'!$B$5:$M$20, 10, FALSE)*D269, 0)))</f>
        <v/>
      </c>
      <c r="I269" s="117">
        <f>IF(OR(C269="", D269=""), "", IFERROR(VLOOKUP(C269, '03_FOOD_DATABASE'!$B$5:$L$60, 9, FALSE)*D269/100, IFERROR(VLOOKUP(C269, '04_RECIPE_DATABASE'!$B$5:$M$20, 11, FALSE)*D269, 0)))</f>
        <v/>
      </c>
      <c r="J269" s="116">
        <f>IF(OR(C269="", D269=""), "", IFERROR(VLOOKUP(C269, '03_FOOD_DATABASE'!$B$5:$L$60, 11, FALSE)*D269/100, IFERROR(VLOOKUP(C269, '04_RECIPE_DATABASE'!$B$5:$M$20, 12, FALSE)*D269, 0)))</f>
        <v/>
      </c>
      <c r="K269" s="115" t="n"/>
      <c r="L269" s="115" t="n"/>
    </row>
    <row r="270">
      <c r="A270" s="115" t="n"/>
      <c r="B270" s="115" t="n"/>
      <c r="C270" s="115" t="n"/>
      <c r="D270" s="115" t="n"/>
      <c r="E270" s="115" t="n"/>
      <c r="F270" s="116">
        <f>IF(OR(C270="", D270=""), "", IFERROR(VLOOKUP(C270, '03_FOOD_DATABASE'!$B$5:$L$60, 6, FALSE)*D270/100, IFERROR(VLOOKUP(C270, '04_RECIPE_DATABASE'!$B$5:$M$20, 8, FALSE)*D270, 0)))</f>
        <v/>
      </c>
      <c r="G270" s="117">
        <f>IF(OR(C270="", D270=""), "", IFERROR(VLOOKUP(C270, '03_FOOD_DATABASE'!$B$5:$L$60, 7, FALSE)*D270/100, IFERROR(VLOOKUP(C270, '04_RECIPE_DATABASE'!$B$5:$M$20, 9, FALSE)*D270, 0)))</f>
        <v/>
      </c>
      <c r="H270" s="117">
        <f>IF(OR(C270="", D270=""), "", IFERROR(VLOOKUP(C270, '03_FOOD_DATABASE'!$B$5:$L$60, 8, FALSE)*D270/100, IFERROR(VLOOKUP(C270, '04_RECIPE_DATABASE'!$B$5:$M$20, 10, FALSE)*D270, 0)))</f>
        <v/>
      </c>
      <c r="I270" s="117">
        <f>IF(OR(C270="", D270=""), "", IFERROR(VLOOKUP(C270, '03_FOOD_DATABASE'!$B$5:$L$60, 9, FALSE)*D270/100, IFERROR(VLOOKUP(C270, '04_RECIPE_DATABASE'!$B$5:$M$20, 11, FALSE)*D270, 0)))</f>
        <v/>
      </c>
      <c r="J270" s="116">
        <f>IF(OR(C270="", D270=""), "", IFERROR(VLOOKUP(C270, '03_FOOD_DATABASE'!$B$5:$L$60, 11, FALSE)*D270/100, IFERROR(VLOOKUP(C270, '04_RECIPE_DATABASE'!$B$5:$M$20, 12, FALSE)*D270, 0)))</f>
        <v/>
      </c>
      <c r="K270" s="115" t="n"/>
      <c r="L270" s="115" t="n"/>
    </row>
    <row r="271">
      <c r="A271" s="115" t="n"/>
      <c r="B271" s="115" t="n"/>
      <c r="C271" s="115" t="n"/>
      <c r="D271" s="115" t="n"/>
      <c r="E271" s="115" t="n"/>
      <c r="F271" s="116">
        <f>IF(OR(C271="", D271=""), "", IFERROR(VLOOKUP(C271, '03_FOOD_DATABASE'!$B$5:$L$60, 6, FALSE)*D271/100, IFERROR(VLOOKUP(C271, '04_RECIPE_DATABASE'!$B$5:$M$20, 8, FALSE)*D271, 0)))</f>
        <v/>
      </c>
      <c r="G271" s="117">
        <f>IF(OR(C271="", D271=""), "", IFERROR(VLOOKUP(C271, '03_FOOD_DATABASE'!$B$5:$L$60, 7, FALSE)*D271/100, IFERROR(VLOOKUP(C271, '04_RECIPE_DATABASE'!$B$5:$M$20, 9, FALSE)*D271, 0)))</f>
        <v/>
      </c>
      <c r="H271" s="117">
        <f>IF(OR(C271="", D271=""), "", IFERROR(VLOOKUP(C271, '03_FOOD_DATABASE'!$B$5:$L$60, 8, FALSE)*D271/100, IFERROR(VLOOKUP(C271, '04_RECIPE_DATABASE'!$B$5:$M$20, 10, FALSE)*D271, 0)))</f>
        <v/>
      </c>
      <c r="I271" s="117">
        <f>IF(OR(C271="", D271=""), "", IFERROR(VLOOKUP(C271, '03_FOOD_DATABASE'!$B$5:$L$60, 9, FALSE)*D271/100, IFERROR(VLOOKUP(C271, '04_RECIPE_DATABASE'!$B$5:$M$20, 11, FALSE)*D271, 0)))</f>
        <v/>
      </c>
      <c r="J271" s="116">
        <f>IF(OR(C271="", D271=""), "", IFERROR(VLOOKUP(C271, '03_FOOD_DATABASE'!$B$5:$L$60, 11, FALSE)*D271/100, IFERROR(VLOOKUP(C271, '04_RECIPE_DATABASE'!$B$5:$M$20, 12, FALSE)*D271, 0)))</f>
        <v/>
      </c>
      <c r="K271" s="115" t="n"/>
      <c r="L271" s="115" t="n"/>
    </row>
    <row r="272">
      <c r="A272" s="115" t="n"/>
      <c r="B272" s="115" t="n"/>
      <c r="C272" s="115" t="n"/>
      <c r="D272" s="115" t="n"/>
      <c r="E272" s="115" t="n"/>
      <c r="F272" s="116">
        <f>IF(OR(C272="", D272=""), "", IFERROR(VLOOKUP(C272, '03_FOOD_DATABASE'!$B$5:$L$60, 6, FALSE)*D272/100, IFERROR(VLOOKUP(C272, '04_RECIPE_DATABASE'!$B$5:$M$20, 8, FALSE)*D272, 0)))</f>
        <v/>
      </c>
      <c r="G272" s="117">
        <f>IF(OR(C272="", D272=""), "", IFERROR(VLOOKUP(C272, '03_FOOD_DATABASE'!$B$5:$L$60, 7, FALSE)*D272/100, IFERROR(VLOOKUP(C272, '04_RECIPE_DATABASE'!$B$5:$M$20, 9, FALSE)*D272, 0)))</f>
        <v/>
      </c>
      <c r="H272" s="117">
        <f>IF(OR(C272="", D272=""), "", IFERROR(VLOOKUP(C272, '03_FOOD_DATABASE'!$B$5:$L$60, 8, FALSE)*D272/100, IFERROR(VLOOKUP(C272, '04_RECIPE_DATABASE'!$B$5:$M$20, 10, FALSE)*D272, 0)))</f>
        <v/>
      </c>
      <c r="I272" s="117">
        <f>IF(OR(C272="", D272=""), "", IFERROR(VLOOKUP(C272, '03_FOOD_DATABASE'!$B$5:$L$60, 9, FALSE)*D272/100, IFERROR(VLOOKUP(C272, '04_RECIPE_DATABASE'!$B$5:$M$20, 11, FALSE)*D272, 0)))</f>
        <v/>
      </c>
      <c r="J272" s="116">
        <f>IF(OR(C272="", D272=""), "", IFERROR(VLOOKUP(C272, '03_FOOD_DATABASE'!$B$5:$L$60, 11, FALSE)*D272/100, IFERROR(VLOOKUP(C272, '04_RECIPE_DATABASE'!$B$5:$M$20, 12, FALSE)*D272, 0)))</f>
        <v/>
      </c>
      <c r="K272" s="115" t="n"/>
      <c r="L272" s="115" t="n"/>
    </row>
    <row r="273">
      <c r="A273" s="115" t="n"/>
      <c r="B273" s="115" t="n"/>
      <c r="C273" s="115" t="n"/>
      <c r="D273" s="115" t="n"/>
      <c r="E273" s="115" t="n"/>
      <c r="F273" s="116">
        <f>IF(OR(C273="", D273=""), "", IFERROR(VLOOKUP(C273, '03_FOOD_DATABASE'!$B$5:$L$60, 6, FALSE)*D273/100, IFERROR(VLOOKUP(C273, '04_RECIPE_DATABASE'!$B$5:$M$20, 8, FALSE)*D273, 0)))</f>
        <v/>
      </c>
      <c r="G273" s="117">
        <f>IF(OR(C273="", D273=""), "", IFERROR(VLOOKUP(C273, '03_FOOD_DATABASE'!$B$5:$L$60, 7, FALSE)*D273/100, IFERROR(VLOOKUP(C273, '04_RECIPE_DATABASE'!$B$5:$M$20, 9, FALSE)*D273, 0)))</f>
        <v/>
      </c>
      <c r="H273" s="117">
        <f>IF(OR(C273="", D273=""), "", IFERROR(VLOOKUP(C273, '03_FOOD_DATABASE'!$B$5:$L$60, 8, FALSE)*D273/100, IFERROR(VLOOKUP(C273, '04_RECIPE_DATABASE'!$B$5:$M$20, 10, FALSE)*D273, 0)))</f>
        <v/>
      </c>
      <c r="I273" s="117">
        <f>IF(OR(C273="", D273=""), "", IFERROR(VLOOKUP(C273, '03_FOOD_DATABASE'!$B$5:$L$60, 9, FALSE)*D273/100, IFERROR(VLOOKUP(C273, '04_RECIPE_DATABASE'!$B$5:$M$20, 11, FALSE)*D273, 0)))</f>
        <v/>
      </c>
      <c r="J273" s="116">
        <f>IF(OR(C273="", D273=""), "", IFERROR(VLOOKUP(C273, '03_FOOD_DATABASE'!$B$5:$L$60, 11, FALSE)*D273/100, IFERROR(VLOOKUP(C273, '04_RECIPE_DATABASE'!$B$5:$M$20, 12, FALSE)*D273, 0)))</f>
        <v/>
      </c>
      <c r="K273" s="115" t="n"/>
      <c r="L273" s="115" t="n"/>
    </row>
    <row r="274">
      <c r="A274" s="115" t="n"/>
      <c r="B274" s="115" t="n"/>
      <c r="C274" s="115" t="n"/>
      <c r="D274" s="115" t="n"/>
      <c r="E274" s="115" t="n"/>
      <c r="F274" s="116">
        <f>IF(OR(C274="", D274=""), "", IFERROR(VLOOKUP(C274, '03_FOOD_DATABASE'!$B$5:$L$60, 6, FALSE)*D274/100, IFERROR(VLOOKUP(C274, '04_RECIPE_DATABASE'!$B$5:$M$20, 8, FALSE)*D274, 0)))</f>
        <v/>
      </c>
      <c r="G274" s="117">
        <f>IF(OR(C274="", D274=""), "", IFERROR(VLOOKUP(C274, '03_FOOD_DATABASE'!$B$5:$L$60, 7, FALSE)*D274/100, IFERROR(VLOOKUP(C274, '04_RECIPE_DATABASE'!$B$5:$M$20, 9, FALSE)*D274, 0)))</f>
        <v/>
      </c>
      <c r="H274" s="117">
        <f>IF(OR(C274="", D274=""), "", IFERROR(VLOOKUP(C274, '03_FOOD_DATABASE'!$B$5:$L$60, 8, FALSE)*D274/100, IFERROR(VLOOKUP(C274, '04_RECIPE_DATABASE'!$B$5:$M$20, 10, FALSE)*D274, 0)))</f>
        <v/>
      </c>
      <c r="I274" s="117">
        <f>IF(OR(C274="", D274=""), "", IFERROR(VLOOKUP(C274, '03_FOOD_DATABASE'!$B$5:$L$60, 9, FALSE)*D274/100, IFERROR(VLOOKUP(C274, '04_RECIPE_DATABASE'!$B$5:$M$20, 11, FALSE)*D274, 0)))</f>
        <v/>
      </c>
      <c r="J274" s="116">
        <f>IF(OR(C274="", D274=""), "", IFERROR(VLOOKUP(C274, '03_FOOD_DATABASE'!$B$5:$L$60, 11, FALSE)*D274/100, IFERROR(VLOOKUP(C274, '04_RECIPE_DATABASE'!$B$5:$M$20, 12, FALSE)*D274, 0)))</f>
        <v/>
      </c>
      <c r="K274" s="115" t="n"/>
      <c r="L274" s="115" t="n"/>
    </row>
    <row r="275">
      <c r="A275" s="115" t="n"/>
      <c r="B275" s="115" t="n"/>
      <c r="C275" s="115" t="n"/>
      <c r="D275" s="115" t="n"/>
      <c r="E275" s="115" t="n"/>
      <c r="F275" s="116">
        <f>IF(OR(C275="", D275=""), "", IFERROR(VLOOKUP(C275, '03_FOOD_DATABASE'!$B$5:$L$60, 6, FALSE)*D275/100, IFERROR(VLOOKUP(C275, '04_RECIPE_DATABASE'!$B$5:$M$20, 8, FALSE)*D275, 0)))</f>
        <v/>
      </c>
      <c r="G275" s="117">
        <f>IF(OR(C275="", D275=""), "", IFERROR(VLOOKUP(C275, '03_FOOD_DATABASE'!$B$5:$L$60, 7, FALSE)*D275/100, IFERROR(VLOOKUP(C275, '04_RECIPE_DATABASE'!$B$5:$M$20, 9, FALSE)*D275, 0)))</f>
        <v/>
      </c>
      <c r="H275" s="117">
        <f>IF(OR(C275="", D275=""), "", IFERROR(VLOOKUP(C275, '03_FOOD_DATABASE'!$B$5:$L$60, 8, FALSE)*D275/100, IFERROR(VLOOKUP(C275, '04_RECIPE_DATABASE'!$B$5:$M$20, 10, FALSE)*D275, 0)))</f>
        <v/>
      </c>
      <c r="I275" s="117">
        <f>IF(OR(C275="", D275=""), "", IFERROR(VLOOKUP(C275, '03_FOOD_DATABASE'!$B$5:$L$60, 9, FALSE)*D275/100, IFERROR(VLOOKUP(C275, '04_RECIPE_DATABASE'!$B$5:$M$20, 11, FALSE)*D275, 0)))</f>
        <v/>
      </c>
      <c r="J275" s="116">
        <f>IF(OR(C275="", D275=""), "", IFERROR(VLOOKUP(C275, '03_FOOD_DATABASE'!$B$5:$L$60, 11, FALSE)*D275/100, IFERROR(VLOOKUP(C275, '04_RECIPE_DATABASE'!$B$5:$M$20, 12, FALSE)*D275, 0)))</f>
        <v/>
      </c>
      <c r="K275" s="115" t="n"/>
      <c r="L275" s="115" t="n"/>
    </row>
    <row r="276">
      <c r="A276" s="115" t="n"/>
      <c r="B276" s="115" t="n"/>
      <c r="C276" s="115" t="n"/>
      <c r="D276" s="115" t="n"/>
      <c r="E276" s="115" t="n"/>
      <c r="F276" s="116">
        <f>IF(OR(C276="", D276=""), "", IFERROR(VLOOKUP(C276, '03_FOOD_DATABASE'!$B$5:$L$60, 6, FALSE)*D276/100, IFERROR(VLOOKUP(C276, '04_RECIPE_DATABASE'!$B$5:$M$20, 8, FALSE)*D276, 0)))</f>
        <v/>
      </c>
      <c r="G276" s="117">
        <f>IF(OR(C276="", D276=""), "", IFERROR(VLOOKUP(C276, '03_FOOD_DATABASE'!$B$5:$L$60, 7, FALSE)*D276/100, IFERROR(VLOOKUP(C276, '04_RECIPE_DATABASE'!$B$5:$M$20, 9, FALSE)*D276, 0)))</f>
        <v/>
      </c>
      <c r="H276" s="117">
        <f>IF(OR(C276="", D276=""), "", IFERROR(VLOOKUP(C276, '03_FOOD_DATABASE'!$B$5:$L$60, 8, FALSE)*D276/100, IFERROR(VLOOKUP(C276, '04_RECIPE_DATABASE'!$B$5:$M$20, 10, FALSE)*D276, 0)))</f>
        <v/>
      </c>
      <c r="I276" s="117">
        <f>IF(OR(C276="", D276=""), "", IFERROR(VLOOKUP(C276, '03_FOOD_DATABASE'!$B$5:$L$60, 9, FALSE)*D276/100, IFERROR(VLOOKUP(C276, '04_RECIPE_DATABASE'!$B$5:$M$20, 11, FALSE)*D276, 0)))</f>
        <v/>
      </c>
      <c r="J276" s="116">
        <f>IF(OR(C276="", D276=""), "", IFERROR(VLOOKUP(C276, '03_FOOD_DATABASE'!$B$5:$L$60, 11, FALSE)*D276/100, IFERROR(VLOOKUP(C276, '04_RECIPE_DATABASE'!$B$5:$M$20, 12, FALSE)*D276, 0)))</f>
        <v/>
      </c>
      <c r="K276" s="115" t="n"/>
      <c r="L276" s="115" t="n"/>
    </row>
    <row r="277">
      <c r="A277" s="115" t="n"/>
      <c r="B277" s="115" t="n"/>
      <c r="C277" s="115" t="n"/>
      <c r="D277" s="115" t="n"/>
      <c r="E277" s="115" t="n"/>
      <c r="F277" s="116">
        <f>IF(OR(C277="", D277=""), "", IFERROR(VLOOKUP(C277, '03_FOOD_DATABASE'!$B$5:$L$60, 6, FALSE)*D277/100, IFERROR(VLOOKUP(C277, '04_RECIPE_DATABASE'!$B$5:$M$20, 8, FALSE)*D277, 0)))</f>
        <v/>
      </c>
      <c r="G277" s="117">
        <f>IF(OR(C277="", D277=""), "", IFERROR(VLOOKUP(C277, '03_FOOD_DATABASE'!$B$5:$L$60, 7, FALSE)*D277/100, IFERROR(VLOOKUP(C277, '04_RECIPE_DATABASE'!$B$5:$M$20, 9, FALSE)*D277, 0)))</f>
        <v/>
      </c>
      <c r="H277" s="117">
        <f>IF(OR(C277="", D277=""), "", IFERROR(VLOOKUP(C277, '03_FOOD_DATABASE'!$B$5:$L$60, 8, FALSE)*D277/100, IFERROR(VLOOKUP(C277, '04_RECIPE_DATABASE'!$B$5:$M$20, 10, FALSE)*D277, 0)))</f>
        <v/>
      </c>
      <c r="I277" s="117">
        <f>IF(OR(C277="", D277=""), "", IFERROR(VLOOKUP(C277, '03_FOOD_DATABASE'!$B$5:$L$60, 9, FALSE)*D277/100, IFERROR(VLOOKUP(C277, '04_RECIPE_DATABASE'!$B$5:$M$20, 11, FALSE)*D277, 0)))</f>
        <v/>
      </c>
      <c r="J277" s="116">
        <f>IF(OR(C277="", D277=""), "", IFERROR(VLOOKUP(C277, '03_FOOD_DATABASE'!$B$5:$L$60, 11, FALSE)*D277/100, IFERROR(VLOOKUP(C277, '04_RECIPE_DATABASE'!$B$5:$M$20, 12, FALSE)*D277, 0)))</f>
        <v/>
      </c>
      <c r="K277" s="115" t="n"/>
      <c r="L277" s="115" t="n"/>
    </row>
    <row r="278">
      <c r="A278" s="115" t="n"/>
      <c r="B278" s="115" t="n"/>
      <c r="C278" s="115" t="n"/>
      <c r="D278" s="115" t="n"/>
      <c r="E278" s="115" t="n"/>
      <c r="F278" s="116">
        <f>IF(OR(C278="", D278=""), "", IFERROR(VLOOKUP(C278, '03_FOOD_DATABASE'!$B$5:$L$60, 6, FALSE)*D278/100, IFERROR(VLOOKUP(C278, '04_RECIPE_DATABASE'!$B$5:$M$20, 8, FALSE)*D278, 0)))</f>
        <v/>
      </c>
      <c r="G278" s="117">
        <f>IF(OR(C278="", D278=""), "", IFERROR(VLOOKUP(C278, '03_FOOD_DATABASE'!$B$5:$L$60, 7, FALSE)*D278/100, IFERROR(VLOOKUP(C278, '04_RECIPE_DATABASE'!$B$5:$M$20, 9, FALSE)*D278, 0)))</f>
        <v/>
      </c>
      <c r="H278" s="117">
        <f>IF(OR(C278="", D278=""), "", IFERROR(VLOOKUP(C278, '03_FOOD_DATABASE'!$B$5:$L$60, 8, FALSE)*D278/100, IFERROR(VLOOKUP(C278, '04_RECIPE_DATABASE'!$B$5:$M$20, 10, FALSE)*D278, 0)))</f>
        <v/>
      </c>
      <c r="I278" s="117">
        <f>IF(OR(C278="", D278=""), "", IFERROR(VLOOKUP(C278, '03_FOOD_DATABASE'!$B$5:$L$60, 9, FALSE)*D278/100, IFERROR(VLOOKUP(C278, '04_RECIPE_DATABASE'!$B$5:$M$20, 11, FALSE)*D278, 0)))</f>
        <v/>
      </c>
      <c r="J278" s="116">
        <f>IF(OR(C278="", D278=""), "", IFERROR(VLOOKUP(C278, '03_FOOD_DATABASE'!$B$5:$L$60, 11, FALSE)*D278/100, IFERROR(VLOOKUP(C278, '04_RECIPE_DATABASE'!$B$5:$M$20, 12, FALSE)*D278, 0)))</f>
        <v/>
      </c>
      <c r="K278" s="115" t="n"/>
      <c r="L278" s="115" t="n"/>
    </row>
    <row r="279">
      <c r="A279" s="115" t="n"/>
      <c r="B279" s="115" t="n"/>
      <c r="C279" s="115" t="n"/>
      <c r="D279" s="115" t="n"/>
      <c r="E279" s="115" t="n"/>
      <c r="F279" s="116">
        <f>IF(OR(C279="", D279=""), "", IFERROR(VLOOKUP(C279, '03_FOOD_DATABASE'!$B$5:$L$60, 6, FALSE)*D279/100, IFERROR(VLOOKUP(C279, '04_RECIPE_DATABASE'!$B$5:$M$20, 8, FALSE)*D279, 0)))</f>
        <v/>
      </c>
      <c r="G279" s="117">
        <f>IF(OR(C279="", D279=""), "", IFERROR(VLOOKUP(C279, '03_FOOD_DATABASE'!$B$5:$L$60, 7, FALSE)*D279/100, IFERROR(VLOOKUP(C279, '04_RECIPE_DATABASE'!$B$5:$M$20, 9, FALSE)*D279, 0)))</f>
        <v/>
      </c>
      <c r="H279" s="117">
        <f>IF(OR(C279="", D279=""), "", IFERROR(VLOOKUP(C279, '03_FOOD_DATABASE'!$B$5:$L$60, 8, FALSE)*D279/100, IFERROR(VLOOKUP(C279, '04_RECIPE_DATABASE'!$B$5:$M$20, 10, FALSE)*D279, 0)))</f>
        <v/>
      </c>
      <c r="I279" s="117">
        <f>IF(OR(C279="", D279=""), "", IFERROR(VLOOKUP(C279, '03_FOOD_DATABASE'!$B$5:$L$60, 9, FALSE)*D279/100, IFERROR(VLOOKUP(C279, '04_RECIPE_DATABASE'!$B$5:$M$20, 11, FALSE)*D279, 0)))</f>
        <v/>
      </c>
      <c r="J279" s="116">
        <f>IF(OR(C279="", D279=""), "", IFERROR(VLOOKUP(C279, '03_FOOD_DATABASE'!$B$5:$L$60, 11, FALSE)*D279/100, IFERROR(VLOOKUP(C279, '04_RECIPE_DATABASE'!$B$5:$M$20, 12, FALSE)*D279, 0)))</f>
        <v/>
      </c>
      <c r="K279" s="115" t="n"/>
      <c r="L279" s="115" t="n"/>
    </row>
    <row r="280">
      <c r="A280" s="115" t="n"/>
      <c r="B280" s="115" t="n"/>
      <c r="C280" s="115" t="n"/>
      <c r="D280" s="115" t="n"/>
      <c r="E280" s="115" t="n"/>
      <c r="F280" s="116">
        <f>IF(OR(C280="", D280=""), "", IFERROR(VLOOKUP(C280, '03_FOOD_DATABASE'!$B$5:$L$60, 6, FALSE)*D280/100, IFERROR(VLOOKUP(C280, '04_RECIPE_DATABASE'!$B$5:$M$20, 8, FALSE)*D280, 0)))</f>
        <v/>
      </c>
      <c r="G280" s="117">
        <f>IF(OR(C280="", D280=""), "", IFERROR(VLOOKUP(C280, '03_FOOD_DATABASE'!$B$5:$L$60, 7, FALSE)*D280/100, IFERROR(VLOOKUP(C280, '04_RECIPE_DATABASE'!$B$5:$M$20, 9, FALSE)*D280, 0)))</f>
        <v/>
      </c>
      <c r="H280" s="117">
        <f>IF(OR(C280="", D280=""), "", IFERROR(VLOOKUP(C280, '03_FOOD_DATABASE'!$B$5:$L$60, 8, FALSE)*D280/100, IFERROR(VLOOKUP(C280, '04_RECIPE_DATABASE'!$B$5:$M$20, 10, FALSE)*D280, 0)))</f>
        <v/>
      </c>
      <c r="I280" s="117">
        <f>IF(OR(C280="", D280=""), "", IFERROR(VLOOKUP(C280, '03_FOOD_DATABASE'!$B$5:$L$60, 9, FALSE)*D280/100, IFERROR(VLOOKUP(C280, '04_RECIPE_DATABASE'!$B$5:$M$20, 11, FALSE)*D280, 0)))</f>
        <v/>
      </c>
      <c r="J280" s="116">
        <f>IF(OR(C280="", D280=""), "", IFERROR(VLOOKUP(C280, '03_FOOD_DATABASE'!$B$5:$L$60, 11, FALSE)*D280/100, IFERROR(VLOOKUP(C280, '04_RECIPE_DATABASE'!$B$5:$M$20, 12, FALSE)*D280, 0)))</f>
        <v/>
      </c>
      <c r="K280" s="115" t="n"/>
      <c r="L280" s="115" t="n"/>
    </row>
    <row r="281">
      <c r="A281" s="115" t="n"/>
      <c r="B281" s="115" t="n"/>
      <c r="C281" s="115" t="n"/>
      <c r="D281" s="115" t="n"/>
      <c r="E281" s="115" t="n"/>
      <c r="F281" s="116">
        <f>IF(OR(C281="", D281=""), "", IFERROR(VLOOKUP(C281, '03_FOOD_DATABASE'!$B$5:$L$60, 6, FALSE)*D281/100, IFERROR(VLOOKUP(C281, '04_RECIPE_DATABASE'!$B$5:$M$20, 8, FALSE)*D281, 0)))</f>
        <v/>
      </c>
      <c r="G281" s="117">
        <f>IF(OR(C281="", D281=""), "", IFERROR(VLOOKUP(C281, '03_FOOD_DATABASE'!$B$5:$L$60, 7, FALSE)*D281/100, IFERROR(VLOOKUP(C281, '04_RECIPE_DATABASE'!$B$5:$M$20, 9, FALSE)*D281, 0)))</f>
        <v/>
      </c>
      <c r="H281" s="117">
        <f>IF(OR(C281="", D281=""), "", IFERROR(VLOOKUP(C281, '03_FOOD_DATABASE'!$B$5:$L$60, 8, FALSE)*D281/100, IFERROR(VLOOKUP(C281, '04_RECIPE_DATABASE'!$B$5:$M$20, 10, FALSE)*D281, 0)))</f>
        <v/>
      </c>
      <c r="I281" s="117">
        <f>IF(OR(C281="", D281=""), "", IFERROR(VLOOKUP(C281, '03_FOOD_DATABASE'!$B$5:$L$60, 9, FALSE)*D281/100, IFERROR(VLOOKUP(C281, '04_RECIPE_DATABASE'!$B$5:$M$20, 11, FALSE)*D281, 0)))</f>
        <v/>
      </c>
      <c r="J281" s="116">
        <f>IF(OR(C281="", D281=""), "", IFERROR(VLOOKUP(C281, '03_FOOD_DATABASE'!$B$5:$L$60, 11, FALSE)*D281/100, IFERROR(VLOOKUP(C281, '04_RECIPE_DATABASE'!$B$5:$M$20, 12, FALSE)*D281, 0)))</f>
        <v/>
      </c>
      <c r="K281" s="115" t="n"/>
      <c r="L281" s="115" t="n"/>
    </row>
    <row r="282">
      <c r="A282" s="115" t="n"/>
      <c r="B282" s="115" t="n"/>
      <c r="C282" s="115" t="n"/>
      <c r="D282" s="115" t="n"/>
      <c r="E282" s="115" t="n"/>
      <c r="F282" s="116">
        <f>IF(OR(C282="", D282=""), "", IFERROR(VLOOKUP(C282, '03_FOOD_DATABASE'!$B$5:$L$60, 6, FALSE)*D282/100, IFERROR(VLOOKUP(C282, '04_RECIPE_DATABASE'!$B$5:$M$20, 8, FALSE)*D282, 0)))</f>
        <v/>
      </c>
      <c r="G282" s="117">
        <f>IF(OR(C282="", D282=""), "", IFERROR(VLOOKUP(C282, '03_FOOD_DATABASE'!$B$5:$L$60, 7, FALSE)*D282/100, IFERROR(VLOOKUP(C282, '04_RECIPE_DATABASE'!$B$5:$M$20, 9, FALSE)*D282, 0)))</f>
        <v/>
      </c>
      <c r="H282" s="117">
        <f>IF(OR(C282="", D282=""), "", IFERROR(VLOOKUP(C282, '03_FOOD_DATABASE'!$B$5:$L$60, 8, FALSE)*D282/100, IFERROR(VLOOKUP(C282, '04_RECIPE_DATABASE'!$B$5:$M$20, 10, FALSE)*D282, 0)))</f>
        <v/>
      </c>
      <c r="I282" s="117">
        <f>IF(OR(C282="", D282=""), "", IFERROR(VLOOKUP(C282, '03_FOOD_DATABASE'!$B$5:$L$60, 9, FALSE)*D282/100, IFERROR(VLOOKUP(C282, '04_RECIPE_DATABASE'!$B$5:$M$20, 11, FALSE)*D282, 0)))</f>
        <v/>
      </c>
      <c r="J282" s="116">
        <f>IF(OR(C282="", D282=""), "", IFERROR(VLOOKUP(C282, '03_FOOD_DATABASE'!$B$5:$L$60, 11, FALSE)*D282/100, IFERROR(VLOOKUP(C282, '04_RECIPE_DATABASE'!$B$5:$M$20, 12, FALSE)*D282, 0)))</f>
        <v/>
      </c>
      <c r="K282" s="115" t="n"/>
      <c r="L282" s="115" t="n"/>
    </row>
    <row r="283">
      <c r="A283" s="115" t="n"/>
      <c r="B283" s="115" t="n"/>
      <c r="C283" s="115" t="n"/>
      <c r="D283" s="115" t="n"/>
      <c r="E283" s="115" t="n"/>
      <c r="F283" s="116">
        <f>IF(OR(C283="", D283=""), "", IFERROR(VLOOKUP(C283, '03_FOOD_DATABASE'!$B$5:$L$60, 6, FALSE)*D283/100, IFERROR(VLOOKUP(C283, '04_RECIPE_DATABASE'!$B$5:$M$20, 8, FALSE)*D283, 0)))</f>
        <v/>
      </c>
      <c r="G283" s="117">
        <f>IF(OR(C283="", D283=""), "", IFERROR(VLOOKUP(C283, '03_FOOD_DATABASE'!$B$5:$L$60, 7, FALSE)*D283/100, IFERROR(VLOOKUP(C283, '04_RECIPE_DATABASE'!$B$5:$M$20, 9, FALSE)*D283, 0)))</f>
        <v/>
      </c>
      <c r="H283" s="117">
        <f>IF(OR(C283="", D283=""), "", IFERROR(VLOOKUP(C283, '03_FOOD_DATABASE'!$B$5:$L$60, 8, FALSE)*D283/100, IFERROR(VLOOKUP(C283, '04_RECIPE_DATABASE'!$B$5:$M$20, 10, FALSE)*D283, 0)))</f>
        <v/>
      </c>
      <c r="I283" s="117">
        <f>IF(OR(C283="", D283=""), "", IFERROR(VLOOKUP(C283, '03_FOOD_DATABASE'!$B$5:$L$60, 9, FALSE)*D283/100, IFERROR(VLOOKUP(C283, '04_RECIPE_DATABASE'!$B$5:$M$20, 11, FALSE)*D283, 0)))</f>
        <v/>
      </c>
      <c r="J283" s="116">
        <f>IF(OR(C283="", D283=""), "", IFERROR(VLOOKUP(C283, '03_FOOD_DATABASE'!$B$5:$L$60, 11, FALSE)*D283/100, IFERROR(VLOOKUP(C283, '04_RECIPE_DATABASE'!$B$5:$M$20, 12, FALSE)*D283, 0)))</f>
        <v/>
      </c>
      <c r="K283" s="115" t="n"/>
      <c r="L283" s="115" t="n"/>
    </row>
    <row r="284">
      <c r="A284" s="115" t="n"/>
      <c r="B284" s="115" t="n"/>
      <c r="C284" s="115" t="n"/>
      <c r="D284" s="115" t="n"/>
      <c r="E284" s="115" t="n"/>
      <c r="F284" s="116">
        <f>IF(OR(C284="", D284=""), "", IFERROR(VLOOKUP(C284, '03_FOOD_DATABASE'!$B$5:$L$60, 6, FALSE)*D284/100, IFERROR(VLOOKUP(C284, '04_RECIPE_DATABASE'!$B$5:$M$20, 8, FALSE)*D284, 0)))</f>
        <v/>
      </c>
      <c r="G284" s="117">
        <f>IF(OR(C284="", D284=""), "", IFERROR(VLOOKUP(C284, '03_FOOD_DATABASE'!$B$5:$L$60, 7, FALSE)*D284/100, IFERROR(VLOOKUP(C284, '04_RECIPE_DATABASE'!$B$5:$M$20, 9, FALSE)*D284, 0)))</f>
        <v/>
      </c>
      <c r="H284" s="117">
        <f>IF(OR(C284="", D284=""), "", IFERROR(VLOOKUP(C284, '03_FOOD_DATABASE'!$B$5:$L$60, 8, FALSE)*D284/100, IFERROR(VLOOKUP(C284, '04_RECIPE_DATABASE'!$B$5:$M$20, 10, FALSE)*D284, 0)))</f>
        <v/>
      </c>
      <c r="I284" s="117">
        <f>IF(OR(C284="", D284=""), "", IFERROR(VLOOKUP(C284, '03_FOOD_DATABASE'!$B$5:$L$60, 9, FALSE)*D284/100, IFERROR(VLOOKUP(C284, '04_RECIPE_DATABASE'!$B$5:$M$20, 11, FALSE)*D284, 0)))</f>
        <v/>
      </c>
      <c r="J284" s="116">
        <f>IF(OR(C284="", D284=""), "", IFERROR(VLOOKUP(C284, '03_FOOD_DATABASE'!$B$5:$L$60, 11, FALSE)*D284/100, IFERROR(VLOOKUP(C284, '04_RECIPE_DATABASE'!$B$5:$M$20, 12, FALSE)*D284, 0)))</f>
        <v/>
      </c>
      <c r="K284" s="115" t="n"/>
      <c r="L284" s="115" t="n"/>
    </row>
    <row r="285">
      <c r="A285" s="115" t="n"/>
      <c r="B285" s="115" t="n"/>
      <c r="C285" s="115" t="n"/>
      <c r="D285" s="115" t="n"/>
      <c r="E285" s="115" t="n"/>
      <c r="F285" s="116">
        <f>IF(OR(C285="", D285=""), "", IFERROR(VLOOKUP(C285, '03_FOOD_DATABASE'!$B$5:$L$60, 6, FALSE)*D285/100, IFERROR(VLOOKUP(C285, '04_RECIPE_DATABASE'!$B$5:$M$20, 8, FALSE)*D285, 0)))</f>
        <v/>
      </c>
      <c r="G285" s="117">
        <f>IF(OR(C285="", D285=""), "", IFERROR(VLOOKUP(C285, '03_FOOD_DATABASE'!$B$5:$L$60, 7, FALSE)*D285/100, IFERROR(VLOOKUP(C285, '04_RECIPE_DATABASE'!$B$5:$M$20, 9, FALSE)*D285, 0)))</f>
        <v/>
      </c>
      <c r="H285" s="117">
        <f>IF(OR(C285="", D285=""), "", IFERROR(VLOOKUP(C285, '03_FOOD_DATABASE'!$B$5:$L$60, 8, FALSE)*D285/100, IFERROR(VLOOKUP(C285, '04_RECIPE_DATABASE'!$B$5:$M$20, 10, FALSE)*D285, 0)))</f>
        <v/>
      </c>
      <c r="I285" s="117">
        <f>IF(OR(C285="", D285=""), "", IFERROR(VLOOKUP(C285, '03_FOOD_DATABASE'!$B$5:$L$60, 9, FALSE)*D285/100, IFERROR(VLOOKUP(C285, '04_RECIPE_DATABASE'!$B$5:$M$20, 11, FALSE)*D285, 0)))</f>
        <v/>
      </c>
      <c r="J285" s="116">
        <f>IF(OR(C285="", D285=""), "", IFERROR(VLOOKUP(C285, '03_FOOD_DATABASE'!$B$5:$L$60, 11, FALSE)*D285/100, IFERROR(VLOOKUP(C285, '04_RECIPE_DATABASE'!$B$5:$M$20, 12, FALSE)*D285, 0)))</f>
        <v/>
      </c>
      <c r="K285" s="115" t="n"/>
      <c r="L285" s="115" t="n"/>
    </row>
    <row r="286">
      <c r="A286" s="115" t="n"/>
      <c r="B286" s="115" t="n"/>
      <c r="C286" s="115" t="n"/>
      <c r="D286" s="115" t="n"/>
      <c r="E286" s="115" t="n"/>
      <c r="F286" s="116">
        <f>IF(OR(C286="", D286=""), "", IFERROR(VLOOKUP(C286, '03_FOOD_DATABASE'!$B$5:$L$60, 6, FALSE)*D286/100, IFERROR(VLOOKUP(C286, '04_RECIPE_DATABASE'!$B$5:$M$20, 8, FALSE)*D286, 0)))</f>
        <v/>
      </c>
      <c r="G286" s="117">
        <f>IF(OR(C286="", D286=""), "", IFERROR(VLOOKUP(C286, '03_FOOD_DATABASE'!$B$5:$L$60, 7, FALSE)*D286/100, IFERROR(VLOOKUP(C286, '04_RECIPE_DATABASE'!$B$5:$M$20, 9, FALSE)*D286, 0)))</f>
        <v/>
      </c>
      <c r="H286" s="117">
        <f>IF(OR(C286="", D286=""), "", IFERROR(VLOOKUP(C286, '03_FOOD_DATABASE'!$B$5:$L$60, 8, FALSE)*D286/100, IFERROR(VLOOKUP(C286, '04_RECIPE_DATABASE'!$B$5:$M$20, 10, FALSE)*D286, 0)))</f>
        <v/>
      </c>
      <c r="I286" s="117">
        <f>IF(OR(C286="", D286=""), "", IFERROR(VLOOKUP(C286, '03_FOOD_DATABASE'!$B$5:$L$60, 9, FALSE)*D286/100, IFERROR(VLOOKUP(C286, '04_RECIPE_DATABASE'!$B$5:$M$20, 11, FALSE)*D286, 0)))</f>
        <v/>
      </c>
      <c r="J286" s="116">
        <f>IF(OR(C286="", D286=""), "", IFERROR(VLOOKUP(C286, '03_FOOD_DATABASE'!$B$5:$L$60, 11, FALSE)*D286/100, IFERROR(VLOOKUP(C286, '04_RECIPE_DATABASE'!$B$5:$M$20, 12, FALSE)*D286, 0)))</f>
        <v/>
      </c>
      <c r="K286" s="115" t="n"/>
      <c r="L286" s="115" t="n"/>
    </row>
    <row r="287">
      <c r="A287" s="115" t="n"/>
      <c r="B287" s="115" t="n"/>
      <c r="C287" s="115" t="n"/>
      <c r="D287" s="115" t="n"/>
      <c r="E287" s="115" t="n"/>
      <c r="F287" s="116">
        <f>IF(OR(C287="", D287=""), "", IFERROR(VLOOKUP(C287, '03_FOOD_DATABASE'!$B$5:$L$60, 6, FALSE)*D287/100, IFERROR(VLOOKUP(C287, '04_RECIPE_DATABASE'!$B$5:$M$20, 8, FALSE)*D287, 0)))</f>
        <v/>
      </c>
      <c r="G287" s="117">
        <f>IF(OR(C287="", D287=""), "", IFERROR(VLOOKUP(C287, '03_FOOD_DATABASE'!$B$5:$L$60, 7, FALSE)*D287/100, IFERROR(VLOOKUP(C287, '04_RECIPE_DATABASE'!$B$5:$M$20, 9, FALSE)*D287, 0)))</f>
        <v/>
      </c>
      <c r="H287" s="117">
        <f>IF(OR(C287="", D287=""), "", IFERROR(VLOOKUP(C287, '03_FOOD_DATABASE'!$B$5:$L$60, 8, FALSE)*D287/100, IFERROR(VLOOKUP(C287, '04_RECIPE_DATABASE'!$B$5:$M$20, 10, FALSE)*D287, 0)))</f>
        <v/>
      </c>
      <c r="I287" s="117">
        <f>IF(OR(C287="", D287=""), "", IFERROR(VLOOKUP(C287, '03_FOOD_DATABASE'!$B$5:$L$60, 9, FALSE)*D287/100, IFERROR(VLOOKUP(C287, '04_RECIPE_DATABASE'!$B$5:$M$20, 11, FALSE)*D287, 0)))</f>
        <v/>
      </c>
      <c r="J287" s="116">
        <f>IF(OR(C287="", D287=""), "", IFERROR(VLOOKUP(C287, '03_FOOD_DATABASE'!$B$5:$L$60, 11, FALSE)*D287/100, IFERROR(VLOOKUP(C287, '04_RECIPE_DATABASE'!$B$5:$M$20, 12, FALSE)*D287, 0)))</f>
        <v/>
      </c>
      <c r="K287" s="115" t="n"/>
      <c r="L287" s="115" t="n"/>
    </row>
    <row r="288">
      <c r="A288" s="115" t="n"/>
      <c r="B288" s="115" t="n"/>
      <c r="C288" s="115" t="n"/>
      <c r="D288" s="115" t="n"/>
      <c r="E288" s="115" t="n"/>
      <c r="F288" s="116">
        <f>IF(OR(C288="", D288=""), "", IFERROR(VLOOKUP(C288, '03_FOOD_DATABASE'!$B$5:$L$60, 6, FALSE)*D288/100, IFERROR(VLOOKUP(C288, '04_RECIPE_DATABASE'!$B$5:$M$20, 8, FALSE)*D288, 0)))</f>
        <v/>
      </c>
      <c r="G288" s="117">
        <f>IF(OR(C288="", D288=""), "", IFERROR(VLOOKUP(C288, '03_FOOD_DATABASE'!$B$5:$L$60, 7, FALSE)*D288/100, IFERROR(VLOOKUP(C288, '04_RECIPE_DATABASE'!$B$5:$M$20, 9, FALSE)*D288, 0)))</f>
        <v/>
      </c>
      <c r="H288" s="117">
        <f>IF(OR(C288="", D288=""), "", IFERROR(VLOOKUP(C288, '03_FOOD_DATABASE'!$B$5:$L$60, 8, FALSE)*D288/100, IFERROR(VLOOKUP(C288, '04_RECIPE_DATABASE'!$B$5:$M$20, 10, FALSE)*D288, 0)))</f>
        <v/>
      </c>
      <c r="I288" s="117">
        <f>IF(OR(C288="", D288=""), "", IFERROR(VLOOKUP(C288, '03_FOOD_DATABASE'!$B$5:$L$60, 9, FALSE)*D288/100, IFERROR(VLOOKUP(C288, '04_RECIPE_DATABASE'!$B$5:$M$20, 11, FALSE)*D288, 0)))</f>
        <v/>
      </c>
      <c r="J288" s="116">
        <f>IF(OR(C288="", D288=""), "", IFERROR(VLOOKUP(C288, '03_FOOD_DATABASE'!$B$5:$L$60, 11, FALSE)*D288/100, IFERROR(VLOOKUP(C288, '04_RECIPE_DATABASE'!$B$5:$M$20, 12, FALSE)*D288, 0)))</f>
        <v/>
      </c>
      <c r="K288" s="115" t="n"/>
      <c r="L288" s="115" t="n"/>
    </row>
    <row r="289">
      <c r="A289" s="115" t="n"/>
      <c r="B289" s="115" t="n"/>
      <c r="C289" s="115" t="n"/>
      <c r="D289" s="115" t="n"/>
      <c r="E289" s="115" t="n"/>
      <c r="F289" s="116">
        <f>IF(OR(C289="", D289=""), "", IFERROR(VLOOKUP(C289, '03_FOOD_DATABASE'!$B$5:$L$60, 6, FALSE)*D289/100, IFERROR(VLOOKUP(C289, '04_RECIPE_DATABASE'!$B$5:$M$20, 8, FALSE)*D289, 0)))</f>
        <v/>
      </c>
      <c r="G289" s="117">
        <f>IF(OR(C289="", D289=""), "", IFERROR(VLOOKUP(C289, '03_FOOD_DATABASE'!$B$5:$L$60, 7, FALSE)*D289/100, IFERROR(VLOOKUP(C289, '04_RECIPE_DATABASE'!$B$5:$M$20, 9, FALSE)*D289, 0)))</f>
        <v/>
      </c>
      <c r="H289" s="117">
        <f>IF(OR(C289="", D289=""), "", IFERROR(VLOOKUP(C289, '03_FOOD_DATABASE'!$B$5:$L$60, 8, FALSE)*D289/100, IFERROR(VLOOKUP(C289, '04_RECIPE_DATABASE'!$B$5:$M$20, 10, FALSE)*D289, 0)))</f>
        <v/>
      </c>
      <c r="I289" s="117">
        <f>IF(OR(C289="", D289=""), "", IFERROR(VLOOKUP(C289, '03_FOOD_DATABASE'!$B$5:$L$60, 9, FALSE)*D289/100, IFERROR(VLOOKUP(C289, '04_RECIPE_DATABASE'!$B$5:$M$20, 11, FALSE)*D289, 0)))</f>
        <v/>
      </c>
      <c r="J289" s="116">
        <f>IF(OR(C289="", D289=""), "", IFERROR(VLOOKUP(C289, '03_FOOD_DATABASE'!$B$5:$L$60, 11, FALSE)*D289/100, IFERROR(VLOOKUP(C289, '04_RECIPE_DATABASE'!$B$5:$M$20, 12, FALSE)*D289, 0)))</f>
        <v/>
      </c>
      <c r="K289" s="115" t="n"/>
      <c r="L289" s="115" t="n"/>
    </row>
    <row r="290">
      <c r="A290" s="115" t="n"/>
      <c r="B290" s="115" t="n"/>
      <c r="C290" s="115" t="n"/>
      <c r="D290" s="115" t="n"/>
      <c r="E290" s="115" t="n"/>
      <c r="F290" s="116">
        <f>IF(OR(C290="", D290=""), "", IFERROR(VLOOKUP(C290, '03_FOOD_DATABASE'!$B$5:$L$60, 6, FALSE)*D290/100, IFERROR(VLOOKUP(C290, '04_RECIPE_DATABASE'!$B$5:$M$20, 8, FALSE)*D290, 0)))</f>
        <v/>
      </c>
      <c r="G290" s="117">
        <f>IF(OR(C290="", D290=""), "", IFERROR(VLOOKUP(C290, '03_FOOD_DATABASE'!$B$5:$L$60, 7, FALSE)*D290/100, IFERROR(VLOOKUP(C290, '04_RECIPE_DATABASE'!$B$5:$M$20, 9, FALSE)*D290, 0)))</f>
        <v/>
      </c>
      <c r="H290" s="117">
        <f>IF(OR(C290="", D290=""), "", IFERROR(VLOOKUP(C290, '03_FOOD_DATABASE'!$B$5:$L$60, 8, FALSE)*D290/100, IFERROR(VLOOKUP(C290, '04_RECIPE_DATABASE'!$B$5:$M$20, 10, FALSE)*D290, 0)))</f>
        <v/>
      </c>
      <c r="I290" s="117">
        <f>IF(OR(C290="", D290=""), "", IFERROR(VLOOKUP(C290, '03_FOOD_DATABASE'!$B$5:$L$60, 9, FALSE)*D290/100, IFERROR(VLOOKUP(C290, '04_RECIPE_DATABASE'!$B$5:$M$20, 11, FALSE)*D290, 0)))</f>
        <v/>
      </c>
      <c r="J290" s="116">
        <f>IF(OR(C290="", D290=""), "", IFERROR(VLOOKUP(C290, '03_FOOD_DATABASE'!$B$5:$L$60, 11, FALSE)*D290/100, IFERROR(VLOOKUP(C290, '04_RECIPE_DATABASE'!$B$5:$M$20, 12, FALSE)*D290, 0)))</f>
        <v/>
      </c>
      <c r="K290" s="115" t="n"/>
      <c r="L290" s="115" t="n"/>
    </row>
    <row r="291">
      <c r="A291" s="115" t="n"/>
      <c r="B291" s="115" t="n"/>
      <c r="C291" s="115" t="n"/>
      <c r="D291" s="115" t="n"/>
      <c r="E291" s="115" t="n"/>
      <c r="F291" s="116">
        <f>IF(OR(C291="", D291=""), "", IFERROR(VLOOKUP(C291, '03_FOOD_DATABASE'!$B$5:$L$60, 6, FALSE)*D291/100, IFERROR(VLOOKUP(C291, '04_RECIPE_DATABASE'!$B$5:$M$20, 8, FALSE)*D291, 0)))</f>
        <v/>
      </c>
      <c r="G291" s="117">
        <f>IF(OR(C291="", D291=""), "", IFERROR(VLOOKUP(C291, '03_FOOD_DATABASE'!$B$5:$L$60, 7, FALSE)*D291/100, IFERROR(VLOOKUP(C291, '04_RECIPE_DATABASE'!$B$5:$M$20, 9, FALSE)*D291, 0)))</f>
        <v/>
      </c>
      <c r="H291" s="117">
        <f>IF(OR(C291="", D291=""), "", IFERROR(VLOOKUP(C291, '03_FOOD_DATABASE'!$B$5:$L$60, 8, FALSE)*D291/100, IFERROR(VLOOKUP(C291, '04_RECIPE_DATABASE'!$B$5:$M$20, 10, FALSE)*D291, 0)))</f>
        <v/>
      </c>
      <c r="I291" s="117">
        <f>IF(OR(C291="", D291=""), "", IFERROR(VLOOKUP(C291, '03_FOOD_DATABASE'!$B$5:$L$60, 9, FALSE)*D291/100, IFERROR(VLOOKUP(C291, '04_RECIPE_DATABASE'!$B$5:$M$20, 11, FALSE)*D291, 0)))</f>
        <v/>
      </c>
      <c r="J291" s="116">
        <f>IF(OR(C291="", D291=""), "", IFERROR(VLOOKUP(C291, '03_FOOD_DATABASE'!$B$5:$L$60, 11, FALSE)*D291/100, IFERROR(VLOOKUP(C291, '04_RECIPE_DATABASE'!$B$5:$M$20, 12, FALSE)*D291, 0)))</f>
        <v/>
      </c>
      <c r="K291" s="115" t="n"/>
      <c r="L291" s="115" t="n"/>
    </row>
    <row r="292">
      <c r="A292" s="115" t="n"/>
      <c r="B292" s="115" t="n"/>
      <c r="C292" s="115" t="n"/>
      <c r="D292" s="115" t="n"/>
      <c r="E292" s="115" t="n"/>
      <c r="F292" s="116">
        <f>IF(OR(C292="", D292=""), "", IFERROR(VLOOKUP(C292, '03_FOOD_DATABASE'!$B$5:$L$60, 6, FALSE)*D292/100, IFERROR(VLOOKUP(C292, '04_RECIPE_DATABASE'!$B$5:$M$20, 8, FALSE)*D292, 0)))</f>
        <v/>
      </c>
      <c r="G292" s="117">
        <f>IF(OR(C292="", D292=""), "", IFERROR(VLOOKUP(C292, '03_FOOD_DATABASE'!$B$5:$L$60, 7, FALSE)*D292/100, IFERROR(VLOOKUP(C292, '04_RECIPE_DATABASE'!$B$5:$M$20, 9, FALSE)*D292, 0)))</f>
        <v/>
      </c>
      <c r="H292" s="117">
        <f>IF(OR(C292="", D292=""), "", IFERROR(VLOOKUP(C292, '03_FOOD_DATABASE'!$B$5:$L$60, 8, FALSE)*D292/100, IFERROR(VLOOKUP(C292, '04_RECIPE_DATABASE'!$B$5:$M$20, 10, FALSE)*D292, 0)))</f>
        <v/>
      </c>
      <c r="I292" s="117">
        <f>IF(OR(C292="", D292=""), "", IFERROR(VLOOKUP(C292, '03_FOOD_DATABASE'!$B$5:$L$60, 9, FALSE)*D292/100, IFERROR(VLOOKUP(C292, '04_RECIPE_DATABASE'!$B$5:$M$20, 11, FALSE)*D292, 0)))</f>
        <v/>
      </c>
      <c r="J292" s="116">
        <f>IF(OR(C292="", D292=""), "", IFERROR(VLOOKUP(C292, '03_FOOD_DATABASE'!$B$5:$L$60, 11, FALSE)*D292/100, IFERROR(VLOOKUP(C292, '04_RECIPE_DATABASE'!$B$5:$M$20, 12, FALSE)*D292, 0)))</f>
        <v/>
      </c>
      <c r="K292" s="115" t="n"/>
      <c r="L292" s="115" t="n"/>
    </row>
    <row r="293">
      <c r="A293" s="115" t="n"/>
      <c r="B293" s="115" t="n"/>
      <c r="C293" s="115" t="n"/>
      <c r="D293" s="115" t="n"/>
      <c r="E293" s="115" t="n"/>
      <c r="F293" s="116">
        <f>IF(OR(C293="", D293=""), "", IFERROR(VLOOKUP(C293, '03_FOOD_DATABASE'!$B$5:$L$60, 6, FALSE)*D293/100, IFERROR(VLOOKUP(C293, '04_RECIPE_DATABASE'!$B$5:$M$20, 8, FALSE)*D293, 0)))</f>
        <v/>
      </c>
      <c r="G293" s="117">
        <f>IF(OR(C293="", D293=""), "", IFERROR(VLOOKUP(C293, '03_FOOD_DATABASE'!$B$5:$L$60, 7, FALSE)*D293/100, IFERROR(VLOOKUP(C293, '04_RECIPE_DATABASE'!$B$5:$M$20, 9, FALSE)*D293, 0)))</f>
        <v/>
      </c>
      <c r="H293" s="117">
        <f>IF(OR(C293="", D293=""), "", IFERROR(VLOOKUP(C293, '03_FOOD_DATABASE'!$B$5:$L$60, 8, FALSE)*D293/100, IFERROR(VLOOKUP(C293, '04_RECIPE_DATABASE'!$B$5:$M$20, 10, FALSE)*D293, 0)))</f>
        <v/>
      </c>
      <c r="I293" s="117">
        <f>IF(OR(C293="", D293=""), "", IFERROR(VLOOKUP(C293, '03_FOOD_DATABASE'!$B$5:$L$60, 9, FALSE)*D293/100, IFERROR(VLOOKUP(C293, '04_RECIPE_DATABASE'!$B$5:$M$20, 11, FALSE)*D293, 0)))</f>
        <v/>
      </c>
      <c r="J293" s="116">
        <f>IF(OR(C293="", D293=""), "", IFERROR(VLOOKUP(C293, '03_FOOD_DATABASE'!$B$5:$L$60, 11, FALSE)*D293/100, IFERROR(VLOOKUP(C293, '04_RECIPE_DATABASE'!$B$5:$M$20, 12, FALSE)*D293, 0)))</f>
        <v/>
      </c>
      <c r="K293" s="115" t="n"/>
      <c r="L293" s="115" t="n"/>
    </row>
    <row r="294">
      <c r="A294" s="115" t="n"/>
      <c r="B294" s="115" t="n"/>
      <c r="C294" s="115" t="n"/>
      <c r="D294" s="115" t="n"/>
      <c r="E294" s="115" t="n"/>
      <c r="F294" s="116">
        <f>IF(OR(C294="", D294=""), "", IFERROR(VLOOKUP(C294, '03_FOOD_DATABASE'!$B$5:$L$60, 6, FALSE)*D294/100, IFERROR(VLOOKUP(C294, '04_RECIPE_DATABASE'!$B$5:$M$20, 8, FALSE)*D294, 0)))</f>
        <v/>
      </c>
      <c r="G294" s="117">
        <f>IF(OR(C294="", D294=""), "", IFERROR(VLOOKUP(C294, '03_FOOD_DATABASE'!$B$5:$L$60, 7, FALSE)*D294/100, IFERROR(VLOOKUP(C294, '04_RECIPE_DATABASE'!$B$5:$M$20, 9, FALSE)*D294, 0)))</f>
        <v/>
      </c>
      <c r="H294" s="117">
        <f>IF(OR(C294="", D294=""), "", IFERROR(VLOOKUP(C294, '03_FOOD_DATABASE'!$B$5:$L$60, 8, FALSE)*D294/100, IFERROR(VLOOKUP(C294, '04_RECIPE_DATABASE'!$B$5:$M$20, 10, FALSE)*D294, 0)))</f>
        <v/>
      </c>
      <c r="I294" s="117">
        <f>IF(OR(C294="", D294=""), "", IFERROR(VLOOKUP(C294, '03_FOOD_DATABASE'!$B$5:$L$60, 9, FALSE)*D294/100, IFERROR(VLOOKUP(C294, '04_RECIPE_DATABASE'!$B$5:$M$20, 11, FALSE)*D294, 0)))</f>
        <v/>
      </c>
      <c r="J294" s="116">
        <f>IF(OR(C294="", D294=""), "", IFERROR(VLOOKUP(C294, '03_FOOD_DATABASE'!$B$5:$L$60, 11, FALSE)*D294/100, IFERROR(VLOOKUP(C294, '04_RECIPE_DATABASE'!$B$5:$M$20, 12, FALSE)*D294, 0)))</f>
        <v/>
      </c>
      <c r="K294" s="115" t="n"/>
      <c r="L294" s="115" t="n"/>
    </row>
    <row r="295">
      <c r="A295" s="115" t="n"/>
      <c r="B295" s="115" t="n"/>
      <c r="C295" s="115" t="n"/>
      <c r="D295" s="115" t="n"/>
      <c r="E295" s="115" t="n"/>
      <c r="F295" s="116">
        <f>IF(OR(C295="", D295=""), "", IFERROR(VLOOKUP(C295, '03_FOOD_DATABASE'!$B$5:$L$60, 6, FALSE)*D295/100, IFERROR(VLOOKUP(C295, '04_RECIPE_DATABASE'!$B$5:$M$20, 8, FALSE)*D295, 0)))</f>
        <v/>
      </c>
      <c r="G295" s="117">
        <f>IF(OR(C295="", D295=""), "", IFERROR(VLOOKUP(C295, '03_FOOD_DATABASE'!$B$5:$L$60, 7, FALSE)*D295/100, IFERROR(VLOOKUP(C295, '04_RECIPE_DATABASE'!$B$5:$M$20, 9, FALSE)*D295, 0)))</f>
        <v/>
      </c>
      <c r="H295" s="117">
        <f>IF(OR(C295="", D295=""), "", IFERROR(VLOOKUP(C295, '03_FOOD_DATABASE'!$B$5:$L$60, 8, FALSE)*D295/100, IFERROR(VLOOKUP(C295, '04_RECIPE_DATABASE'!$B$5:$M$20, 10, FALSE)*D295, 0)))</f>
        <v/>
      </c>
      <c r="I295" s="117">
        <f>IF(OR(C295="", D295=""), "", IFERROR(VLOOKUP(C295, '03_FOOD_DATABASE'!$B$5:$L$60, 9, FALSE)*D295/100, IFERROR(VLOOKUP(C295, '04_RECIPE_DATABASE'!$B$5:$M$20, 11, FALSE)*D295, 0)))</f>
        <v/>
      </c>
      <c r="J295" s="116">
        <f>IF(OR(C295="", D295=""), "", IFERROR(VLOOKUP(C295, '03_FOOD_DATABASE'!$B$5:$L$60, 11, FALSE)*D295/100, IFERROR(VLOOKUP(C295, '04_RECIPE_DATABASE'!$B$5:$M$20, 12, FALSE)*D295, 0)))</f>
        <v/>
      </c>
      <c r="K295" s="115" t="n"/>
      <c r="L295" s="115" t="n"/>
    </row>
    <row r="296">
      <c r="A296" s="115" t="n"/>
      <c r="B296" s="115" t="n"/>
      <c r="C296" s="115" t="n"/>
      <c r="D296" s="115" t="n"/>
      <c r="E296" s="115" t="n"/>
      <c r="F296" s="116">
        <f>IF(OR(C296="", D296=""), "", IFERROR(VLOOKUP(C296, '03_FOOD_DATABASE'!$B$5:$L$60, 6, FALSE)*D296/100, IFERROR(VLOOKUP(C296, '04_RECIPE_DATABASE'!$B$5:$M$20, 8, FALSE)*D296, 0)))</f>
        <v/>
      </c>
      <c r="G296" s="117">
        <f>IF(OR(C296="", D296=""), "", IFERROR(VLOOKUP(C296, '03_FOOD_DATABASE'!$B$5:$L$60, 7, FALSE)*D296/100, IFERROR(VLOOKUP(C296, '04_RECIPE_DATABASE'!$B$5:$M$20, 9, FALSE)*D296, 0)))</f>
        <v/>
      </c>
      <c r="H296" s="117">
        <f>IF(OR(C296="", D296=""), "", IFERROR(VLOOKUP(C296, '03_FOOD_DATABASE'!$B$5:$L$60, 8, FALSE)*D296/100, IFERROR(VLOOKUP(C296, '04_RECIPE_DATABASE'!$B$5:$M$20, 10, FALSE)*D296, 0)))</f>
        <v/>
      </c>
      <c r="I296" s="117">
        <f>IF(OR(C296="", D296=""), "", IFERROR(VLOOKUP(C296, '03_FOOD_DATABASE'!$B$5:$L$60, 9, FALSE)*D296/100, IFERROR(VLOOKUP(C296, '04_RECIPE_DATABASE'!$B$5:$M$20, 11, FALSE)*D296, 0)))</f>
        <v/>
      </c>
      <c r="J296" s="116">
        <f>IF(OR(C296="", D296=""), "", IFERROR(VLOOKUP(C296, '03_FOOD_DATABASE'!$B$5:$L$60, 11, FALSE)*D296/100, IFERROR(VLOOKUP(C296, '04_RECIPE_DATABASE'!$B$5:$M$20, 12, FALSE)*D296, 0)))</f>
        <v/>
      </c>
      <c r="K296" s="115" t="n"/>
      <c r="L296" s="115" t="n"/>
    </row>
    <row r="297">
      <c r="A297" s="115" t="n"/>
      <c r="B297" s="115" t="n"/>
      <c r="C297" s="115" t="n"/>
      <c r="D297" s="115" t="n"/>
      <c r="E297" s="115" t="n"/>
      <c r="F297" s="116">
        <f>IF(OR(C297="", D297=""), "", IFERROR(VLOOKUP(C297, '03_FOOD_DATABASE'!$B$5:$L$60, 6, FALSE)*D297/100, IFERROR(VLOOKUP(C297, '04_RECIPE_DATABASE'!$B$5:$M$20, 8, FALSE)*D297, 0)))</f>
        <v/>
      </c>
      <c r="G297" s="117">
        <f>IF(OR(C297="", D297=""), "", IFERROR(VLOOKUP(C297, '03_FOOD_DATABASE'!$B$5:$L$60, 7, FALSE)*D297/100, IFERROR(VLOOKUP(C297, '04_RECIPE_DATABASE'!$B$5:$M$20, 9, FALSE)*D297, 0)))</f>
        <v/>
      </c>
      <c r="H297" s="117">
        <f>IF(OR(C297="", D297=""), "", IFERROR(VLOOKUP(C297, '03_FOOD_DATABASE'!$B$5:$L$60, 8, FALSE)*D297/100, IFERROR(VLOOKUP(C297, '04_RECIPE_DATABASE'!$B$5:$M$20, 10, FALSE)*D297, 0)))</f>
        <v/>
      </c>
      <c r="I297" s="117">
        <f>IF(OR(C297="", D297=""), "", IFERROR(VLOOKUP(C297, '03_FOOD_DATABASE'!$B$5:$L$60, 9, FALSE)*D297/100, IFERROR(VLOOKUP(C297, '04_RECIPE_DATABASE'!$B$5:$M$20, 11, FALSE)*D297, 0)))</f>
        <v/>
      </c>
      <c r="J297" s="116">
        <f>IF(OR(C297="", D297=""), "", IFERROR(VLOOKUP(C297, '03_FOOD_DATABASE'!$B$5:$L$60, 11, FALSE)*D297/100, IFERROR(VLOOKUP(C297, '04_RECIPE_DATABASE'!$B$5:$M$20, 12, FALSE)*D297, 0)))</f>
        <v/>
      </c>
      <c r="K297" s="115" t="n"/>
      <c r="L297" s="115" t="n"/>
    </row>
    <row r="298">
      <c r="A298" s="115" t="n"/>
      <c r="B298" s="115" t="n"/>
      <c r="C298" s="115" t="n"/>
      <c r="D298" s="115" t="n"/>
      <c r="E298" s="115" t="n"/>
      <c r="F298" s="116">
        <f>IF(OR(C298="", D298=""), "", IFERROR(VLOOKUP(C298, '03_FOOD_DATABASE'!$B$5:$L$60, 6, FALSE)*D298/100, IFERROR(VLOOKUP(C298, '04_RECIPE_DATABASE'!$B$5:$M$20, 8, FALSE)*D298, 0)))</f>
        <v/>
      </c>
      <c r="G298" s="117">
        <f>IF(OR(C298="", D298=""), "", IFERROR(VLOOKUP(C298, '03_FOOD_DATABASE'!$B$5:$L$60, 7, FALSE)*D298/100, IFERROR(VLOOKUP(C298, '04_RECIPE_DATABASE'!$B$5:$M$20, 9, FALSE)*D298, 0)))</f>
        <v/>
      </c>
      <c r="H298" s="117">
        <f>IF(OR(C298="", D298=""), "", IFERROR(VLOOKUP(C298, '03_FOOD_DATABASE'!$B$5:$L$60, 8, FALSE)*D298/100, IFERROR(VLOOKUP(C298, '04_RECIPE_DATABASE'!$B$5:$M$20, 10, FALSE)*D298, 0)))</f>
        <v/>
      </c>
      <c r="I298" s="117">
        <f>IF(OR(C298="", D298=""), "", IFERROR(VLOOKUP(C298, '03_FOOD_DATABASE'!$B$5:$L$60, 9, FALSE)*D298/100, IFERROR(VLOOKUP(C298, '04_RECIPE_DATABASE'!$B$5:$M$20, 11, FALSE)*D298, 0)))</f>
        <v/>
      </c>
      <c r="J298" s="116">
        <f>IF(OR(C298="", D298=""), "", IFERROR(VLOOKUP(C298, '03_FOOD_DATABASE'!$B$5:$L$60, 11, FALSE)*D298/100, IFERROR(VLOOKUP(C298, '04_RECIPE_DATABASE'!$B$5:$M$20, 12, FALSE)*D298, 0)))</f>
        <v/>
      </c>
      <c r="K298" s="115" t="n"/>
      <c r="L298" s="115" t="n"/>
    </row>
    <row r="299">
      <c r="A299" s="115" t="n"/>
      <c r="B299" s="115" t="n"/>
      <c r="C299" s="115" t="n"/>
      <c r="D299" s="115" t="n"/>
      <c r="E299" s="115" t="n"/>
      <c r="F299" s="116">
        <f>IF(OR(C299="", D299=""), "", IFERROR(VLOOKUP(C299, '03_FOOD_DATABASE'!$B$5:$L$60, 6, FALSE)*D299/100, IFERROR(VLOOKUP(C299, '04_RECIPE_DATABASE'!$B$5:$M$20, 8, FALSE)*D299, 0)))</f>
        <v/>
      </c>
      <c r="G299" s="117">
        <f>IF(OR(C299="", D299=""), "", IFERROR(VLOOKUP(C299, '03_FOOD_DATABASE'!$B$5:$L$60, 7, FALSE)*D299/100, IFERROR(VLOOKUP(C299, '04_RECIPE_DATABASE'!$B$5:$M$20, 9, FALSE)*D299, 0)))</f>
        <v/>
      </c>
      <c r="H299" s="117">
        <f>IF(OR(C299="", D299=""), "", IFERROR(VLOOKUP(C299, '03_FOOD_DATABASE'!$B$5:$L$60, 8, FALSE)*D299/100, IFERROR(VLOOKUP(C299, '04_RECIPE_DATABASE'!$B$5:$M$20, 10, FALSE)*D299, 0)))</f>
        <v/>
      </c>
      <c r="I299" s="117">
        <f>IF(OR(C299="", D299=""), "", IFERROR(VLOOKUP(C299, '03_FOOD_DATABASE'!$B$5:$L$60, 9, FALSE)*D299/100, IFERROR(VLOOKUP(C299, '04_RECIPE_DATABASE'!$B$5:$M$20, 11, FALSE)*D299, 0)))</f>
        <v/>
      </c>
      <c r="J299" s="116">
        <f>IF(OR(C299="", D299=""), "", IFERROR(VLOOKUP(C299, '03_FOOD_DATABASE'!$B$5:$L$60, 11, FALSE)*D299/100, IFERROR(VLOOKUP(C299, '04_RECIPE_DATABASE'!$B$5:$M$20, 12, FALSE)*D299, 0)))</f>
        <v/>
      </c>
      <c r="K299" s="115" t="n"/>
      <c r="L299" s="115" t="n"/>
    </row>
    <row r="300">
      <c r="A300" s="115" t="n"/>
      <c r="B300" s="115" t="n"/>
      <c r="C300" s="115" t="n"/>
      <c r="D300" s="115" t="n"/>
      <c r="E300" s="115" t="n"/>
      <c r="F300" s="116">
        <f>IF(OR(C300="", D300=""), "", IFERROR(VLOOKUP(C300, '03_FOOD_DATABASE'!$B$5:$L$60, 6, FALSE)*D300/100, IFERROR(VLOOKUP(C300, '04_RECIPE_DATABASE'!$B$5:$M$20, 8, FALSE)*D300, 0)))</f>
        <v/>
      </c>
      <c r="G300" s="117">
        <f>IF(OR(C300="", D300=""), "", IFERROR(VLOOKUP(C300, '03_FOOD_DATABASE'!$B$5:$L$60, 7, FALSE)*D300/100, IFERROR(VLOOKUP(C300, '04_RECIPE_DATABASE'!$B$5:$M$20, 9, FALSE)*D300, 0)))</f>
        <v/>
      </c>
      <c r="H300" s="117">
        <f>IF(OR(C300="", D300=""), "", IFERROR(VLOOKUP(C300, '03_FOOD_DATABASE'!$B$5:$L$60, 8, FALSE)*D300/100, IFERROR(VLOOKUP(C300, '04_RECIPE_DATABASE'!$B$5:$M$20, 10, FALSE)*D300, 0)))</f>
        <v/>
      </c>
      <c r="I300" s="117">
        <f>IF(OR(C300="", D300=""), "", IFERROR(VLOOKUP(C300, '03_FOOD_DATABASE'!$B$5:$L$60, 9, FALSE)*D300/100, IFERROR(VLOOKUP(C300, '04_RECIPE_DATABASE'!$B$5:$M$20, 11, FALSE)*D300, 0)))</f>
        <v/>
      </c>
      <c r="J300" s="116">
        <f>IF(OR(C300="", D300=""), "", IFERROR(VLOOKUP(C300, '03_FOOD_DATABASE'!$B$5:$L$60, 11, FALSE)*D300/100, IFERROR(VLOOKUP(C300, '04_RECIPE_DATABASE'!$B$5:$M$20, 12, FALSE)*D300, 0)))</f>
        <v/>
      </c>
      <c r="K300" s="115" t="n"/>
      <c r="L300" s="115" t="n"/>
    </row>
  </sheetData>
  <mergeCells count="4">
    <mergeCell ref="N2:X2"/>
    <mergeCell ref="A2:L2"/>
    <mergeCell ref="A1:L1"/>
    <mergeCell ref="N1:X1"/>
  </mergeCells>
  <dataValidations count="2">
    <dataValidation sqref="B5:B154 D4:D50" showDropDown="0" showInputMessage="0" showErrorMessage="0" allowBlank="1" type="list">
      <formula1>='14_SETTINGS_VALIDATION'!$A$4:$A$9</formula1>
    </dataValidation>
    <dataValidation sqref="K5:K154" showDropDown="0" showInputMessage="0" showErrorMessage="0" allowBlank="1" type="list">
      <formula1>='14_SETTINGS_VALIDATION'!$H$4:$H$6</formula1>
    </dataValidation>
  </dataValidations>
  <pageMargins left="0.75" right="0.75" top="1" bottom="1" header="0.5" footer="0.5"/>
</worksheet>
</file>

<file path=xl/worksheets/sheet8.xml><?xml version="1.0" encoding="utf-8"?>
<worksheet xmlns="http://schemas.openxmlformats.org/spreadsheetml/2006/main">
  <sheetPr>
    <tabColor rgb="006366F1"/>
    <outlinePr summaryBelow="1" summaryRight="1"/>
    <pageSetUpPr/>
  </sheetPr>
  <dimension ref="A1:K38"/>
  <sheetViews>
    <sheetView showGridLines="1"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16" customWidth="1" min="3" max="3"/>
    <col width="16" customWidth="1" min="4" max="4"/>
    <col width="16" customWidth="1" min="5" max="5"/>
    <col width="16" customWidth="1" min="6" max="6"/>
    <col width="16" customWidth="1" min="7" max="7"/>
    <col width="16" customWidth="1" min="8" max="8"/>
    <col width="36" customWidth="1" min="9" max="9"/>
    <col width="28" customWidth="1" min="10" max="10"/>
    <col width="30" customWidth="1" min="11" max="11"/>
  </cols>
  <sheetData>
    <row r="1" ht="36" customHeight="1">
      <c r="A1" s="1" t="inlineStr">
        <is>
          <t>DANH MỤC BÀI TẬP THỂ HÌNH TĂNG CƠ AN TOÀN (WORKOUT EXERCISE DATABASE)</t>
        </is>
      </c>
    </row>
    <row r="3" ht="26" customHeight="1">
      <c r="A3" s="36" t="inlineStr">
        <is>
          <t>Mã Bài</t>
        </is>
      </c>
      <c r="B3" s="36" t="inlineStr">
        <is>
          <t>Tên Bài Tập</t>
        </is>
      </c>
      <c r="C3" s="36" t="inlineStr">
        <is>
          <t>Nhóm Cơ Chính</t>
        </is>
      </c>
      <c r="D3" s="36" t="inlineStr">
        <is>
          <t>Nhóm Cơ Phụ</t>
        </is>
      </c>
      <c r="E3" s="36" t="inlineStr">
        <is>
          <t>Dụng Cụ</t>
        </is>
      </c>
      <c r="F3" s="36" t="inlineStr">
        <is>
          <t>Phân Loại</t>
        </is>
      </c>
      <c r="G3" s="36" t="inlineStr">
        <is>
          <t>Độ Khó Kỹ Thuật</t>
        </is>
      </c>
      <c r="H3" s="36" t="inlineStr">
        <is>
          <t>Rep Range Gợi Ý</t>
        </is>
      </c>
      <c r="I3" s="36" t="inlineStr">
        <is>
          <t>Hướng Dẫn Kỹ Thuật (Form Cues)</t>
        </is>
      </c>
      <c r="J3" s="36" t="inlineStr">
        <is>
          <t>Bài Tập Thay Thế An Toàn</t>
        </is>
      </c>
      <c r="K3" s="36" t="inlineStr">
        <is>
          <t>Ghi Chú An Toàn Khớp</t>
        </is>
      </c>
    </row>
    <row r="4" ht="22" customHeight="1">
      <c r="A4" s="24" t="inlineStr">
        <is>
          <t>EX001</t>
        </is>
      </c>
      <c r="B4" s="37" t="inlineStr">
        <is>
          <t>Incline Dumbbell Bench Press</t>
        </is>
      </c>
      <c r="C4" s="24" t="inlineStr">
        <is>
          <t>Ngực</t>
        </is>
      </c>
      <c r="D4" s="24" t="inlineStr">
        <is>
          <t>Vai trước, Tay sau</t>
        </is>
      </c>
      <c r="E4" s="24" t="inlineStr">
        <is>
          <t>Dumbbell (Tạ đơn)</t>
        </is>
      </c>
      <c r="F4" s="24" t="inlineStr">
        <is>
          <t>Compound</t>
        </is>
      </c>
      <c r="G4" s="24" t="inlineStr">
        <is>
          <t>Cơ bản - Dễ tập</t>
        </is>
      </c>
      <c r="H4" s="24" t="inlineStr">
        <is>
          <t>8 - 12 reps</t>
        </is>
      </c>
      <c r="I4" s="38" t="inlineStr">
        <is>
          <t>Góc ghế dốc 30 độ, hạ tạ kiểm soát chạm mép ngực trên, ép ngực lên</t>
        </is>
      </c>
      <c r="J4" s="38" t="inlineStr">
        <is>
          <t>Incline Machine Press</t>
        </is>
      </c>
      <c r="K4" s="38" t="inlineStr">
        <is>
          <t>Không ưỡn cổ quá mức, ép 2 bả vai sát ghế</t>
        </is>
      </c>
    </row>
    <row r="5" ht="22" customHeight="1">
      <c r="A5" s="41" t="inlineStr">
        <is>
          <t>EX002</t>
        </is>
      </c>
      <c r="B5" s="42" t="inlineStr">
        <is>
          <t>Flat Dumbbell Bench Press</t>
        </is>
      </c>
      <c r="C5" s="41" t="inlineStr">
        <is>
          <t>Ngực</t>
        </is>
      </c>
      <c r="D5" s="41" t="inlineStr">
        <is>
          <t>Vai trước, Tay sau</t>
        </is>
      </c>
      <c r="E5" s="41" t="inlineStr">
        <is>
          <t>Dumbbell (Tạ đơn)</t>
        </is>
      </c>
      <c r="F5" s="41" t="inlineStr">
        <is>
          <t>Compound</t>
        </is>
      </c>
      <c r="G5" s="41" t="inlineStr">
        <is>
          <t>Cơ bản - Dễ tập</t>
        </is>
      </c>
      <c r="H5" s="41" t="inlineStr">
        <is>
          <t>8 - 12 reps</t>
        </is>
      </c>
      <c r="I5" s="43" t="inlineStr">
        <is>
          <t>Hạ tạ 2-3s kéo căng cơ ngực, đẩy lên không khóa khớp khuỷu tay</t>
        </is>
      </c>
      <c r="J5" s="43" t="inlineStr">
        <is>
          <t>Barbell Bench Press</t>
        </is>
      </c>
      <c r="K5" s="43" t="inlineStr">
        <is>
          <t>Dùng chân đạp sàn vững chắc tạo độ ổn định</t>
        </is>
      </c>
    </row>
    <row r="6" ht="22" customHeight="1">
      <c r="A6" s="24" t="inlineStr">
        <is>
          <t>EX003</t>
        </is>
      </c>
      <c r="B6" s="37" t="inlineStr">
        <is>
          <t>Machine Chest Press</t>
        </is>
      </c>
      <c r="C6" s="24" t="inlineStr">
        <is>
          <t>Ngực</t>
        </is>
      </c>
      <c r="D6" s="24" t="inlineStr">
        <is>
          <t>Vai trước, Tay sau</t>
        </is>
      </c>
      <c r="E6" s="24" t="inlineStr">
        <is>
          <t>Machine (Máy tập)</t>
        </is>
      </c>
      <c r="F6" s="24" t="inlineStr">
        <is>
          <t>Compound</t>
        </is>
      </c>
      <c r="G6" s="24" t="inlineStr">
        <is>
          <t>Cơ bản - Dễ tập</t>
        </is>
      </c>
      <c r="H6" s="24" t="inlineStr">
        <is>
          <t>10 - 12 reps</t>
        </is>
      </c>
      <c r="I6" s="38" t="inlineStr">
        <is>
          <t>Chỉnh ghế sao cho tay cầm ngang ngực giữa, đẩy đều 2 tay</t>
        </is>
      </c>
      <c r="J6" s="38" t="inlineStr">
        <is>
          <t>Push-up</t>
        </is>
      </c>
      <c r="K6" s="38" t="inlineStr">
        <is>
          <t>Cực kỳ an toàn cho người mới bắt đầu</t>
        </is>
      </c>
    </row>
    <row r="7" ht="22" customHeight="1">
      <c r="A7" s="41" t="inlineStr">
        <is>
          <t>EX004</t>
        </is>
      </c>
      <c r="B7" s="42" t="inlineStr">
        <is>
          <t>Cable Chest Fly</t>
        </is>
      </c>
      <c r="C7" s="41" t="inlineStr">
        <is>
          <t>Ngực</t>
        </is>
      </c>
      <c r="D7" s="41" t="inlineStr">
        <is>
          <t>Vai trước</t>
        </is>
      </c>
      <c r="E7" s="41" t="inlineStr">
        <is>
          <t>Cable (Kéo cáp)</t>
        </is>
      </c>
      <c r="F7" s="41" t="inlineStr">
        <is>
          <t>Isolation</t>
        </is>
      </c>
      <c r="G7" s="41" t="inlineStr">
        <is>
          <t>Trung bình</t>
        </is>
      </c>
      <c r="H7" s="41" t="inlineStr">
        <is>
          <t>12 - 15 reps</t>
        </is>
      </c>
      <c r="I7" s="43" t="inlineStr">
        <is>
          <t>Cùi chỏ hơi cong cố định góc, ép 2 tay vào nhau giữ 1s ở đỉnh</t>
        </is>
      </c>
      <c r="J7" s="43" t="inlineStr">
        <is>
          <t>Pec Deck Fly Machine</t>
        </is>
      </c>
      <c r="K7" s="43" t="inlineStr">
        <is>
          <t>Không để tạ giật căng khớp vai quá đà</t>
        </is>
      </c>
    </row>
    <row r="8" ht="22" customHeight="1">
      <c r="A8" s="24" t="inlineStr">
        <is>
          <t>EX005</t>
        </is>
      </c>
      <c r="B8" s="37" t="inlineStr">
        <is>
          <t>Push-up (Hít đất)</t>
        </is>
      </c>
      <c r="C8" s="24" t="inlineStr">
        <is>
          <t>Ngực</t>
        </is>
      </c>
      <c r="D8" s="24" t="inlineStr">
        <is>
          <t>Tay sau, Core</t>
        </is>
      </c>
      <c r="E8" s="24" t="inlineStr">
        <is>
          <t>Bodyweight</t>
        </is>
      </c>
      <c r="F8" s="24" t="inlineStr">
        <is>
          <t>Compound</t>
        </is>
      </c>
      <c r="G8" s="24" t="inlineStr">
        <is>
          <t>Cơ bản - Dễ tập</t>
        </is>
      </c>
      <c r="H8" s="24" t="inlineStr">
        <is>
          <t>10 - 15 reps</t>
        </is>
      </c>
      <c r="I8" s="38" t="inlineStr">
        <is>
          <t>Gồng bụng thẳng lưng, hạ ngực gần sát sàn, đẩy lên dứt khoát</t>
        </is>
      </c>
      <c r="J8" s="38" t="inlineStr">
        <is>
          <t>Knee Push-up (Hít đất quỳ)</t>
        </is>
      </c>
      <c r="K8" s="38" t="inlineStr">
        <is>
          <t>Tuyệt đối không võng thắt lưng</t>
        </is>
      </c>
    </row>
    <row r="9" ht="22" customHeight="1">
      <c r="A9" s="41" t="inlineStr">
        <is>
          <t>EX006</t>
        </is>
      </c>
      <c r="B9" s="42" t="inlineStr">
        <is>
          <t>Lat Pulldown (Kéo xô máy)</t>
        </is>
      </c>
      <c r="C9" s="41" t="inlineStr">
        <is>
          <t>Lưng / Xô</t>
        </is>
      </c>
      <c r="D9" s="41" t="inlineStr">
        <is>
          <t>Tay trước, Cầu vai</t>
        </is>
      </c>
      <c r="E9" s="41" t="inlineStr">
        <is>
          <t>Cable (Kéo cáp)</t>
        </is>
      </c>
      <c r="F9" s="41" t="inlineStr">
        <is>
          <t>Compound</t>
        </is>
      </c>
      <c r="G9" s="41" t="inlineStr">
        <is>
          <t>Cơ bản - Dễ tập</t>
        </is>
      </c>
      <c r="H9" s="41" t="inlineStr">
        <is>
          <t>8 - 12 reps</t>
        </is>
      </c>
      <c r="I9" s="43" t="inlineStr">
        <is>
          <t>Kéo thanh xà về phía xương đòn, ưỡn ngực nhẹ, hạ bả vai xuống</t>
        </is>
      </c>
      <c r="J9" s="43" t="inlineStr">
        <is>
          <t>Assisted Pull-up</t>
        </is>
      </c>
      <c r="K9" s="43" t="inlineStr">
        <is>
          <t>Không đung đưa người lấy đà</t>
        </is>
      </c>
    </row>
    <row r="10" ht="22" customHeight="1">
      <c r="A10" s="24" t="inlineStr">
        <is>
          <t>EX007</t>
        </is>
      </c>
      <c r="B10" s="37" t="inlineStr">
        <is>
          <t>Seated Cable Row (Kéo cáp ngồi)</t>
        </is>
      </c>
      <c r="C10" s="24" t="inlineStr">
        <is>
          <t>Lưng / Xô</t>
        </is>
      </c>
      <c r="D10" s="24" t="inlineStr">
        <is>
          <t>Tay trước, Lưng giữa</t>
        </is>
      </c>
      <c r="E10" s="24" t="inlineStr">
        <is>
          <t>Cable (Kéo cáp)</t>
        </is>
      </c>
      <c r="F10" s="24" t="inlineStr">
        <is>
          <t>Compound</t>
        </is>
      </c>
      <c r="G10" s="24" t="inlineStr">
        <is>
          <t>Cơ bản - Dễ tập</t>
        </is>
      </c>
      <c r="H10" s="24" t="inlineStr">
        <is>
          <t>8 - 12 reps</t>
        </is>
      </c>
      <c r="I10" s="38" t="inlineStr">
        <is>
          <t>Ngồi thẳng lưng, kéo tay cầm về sát bụng dưới, ép 2 bả vai</t>
        </is>
      </c>
      <c r="J10" s="38" t="inlineStr">
        <is>
          <t>Chest-Supported Row</t>
        </is>
      </c>
      <c r="K10" s="38" t="inlineStr">
        <is>
          <t>Không cúi gập lưng khi nhả tạ</t>
        </is>
      </c>
    </row>
    <row r="11" ht="22" customHeight="1">
      <c r="A11" s="41" t="inlineStr">
        <is>
          <t>EX008</t>
        </is>
      </c>
      <c r="B11" s="42" t="inlineStr">
        <is>
          <t>One-Arm Dumbbell Row</t>
        </is>
      </c>
      <c r="C11" s="41" t="inlineStr">
        <is>
          <t>Lưng / Xô</t>
        </is>
      </c>
      <c r="D11" s="41" t="inlineStr">
        <is>
          <t>Tay trước</t>
        </is>
      </c>
      <c r="E11" s="41" t="inlineStr">
        <is>
          <t>Dumbbell (Tạ đơn)</t>
        </is>
      </c>
      <c r="F11" s="41" t="inlineStr">
        <is>
          <t>Compound</t>
        </is>
      </c>
      <c r="G11" s="41" t="inlineStr">
        <is>
          <t>Trung bình</t>
        </is>
      </c>
      <c r="H11" s="41" t="inlineStr">
        <is>
          <t>8 - 10 reps</t>
        </is>
      </c>
      <c r="I11" s="43" t="inlineStr">
        <is>
          <t>Một tay chống ghế, kéo tạ sát mạn sườn như kéo dây khởi động máy</t>
        </is>
      </c>
      <c r="J11" s="43" t="inlineStr">
        <is>
          <t>Machine Row</t>
        </is>
      </c>
      <c r="K11" s="43" t="inlineStr">
        <is>
          <t>Giữ cột sống lưng hoàn toàn thẳng</t>
        </is>
      </c>
    </row>
    <row r="12" ht="22" customHeight="1">
      <c r="A12" s="24" t="inlineStr">
        <is>
          <t>EX009</t>
        </is>
      </c>
      <c r="B12" s="37" t="inlineStr">
        <is>
          <t>Chest-Supported Dumbbell Row</t>
        </is>
      </c>
      <c r="C12" s="24" t="inlineStr">
        <is>
          <t>Lưng / Xô</t>
        </is>
      </c>
      <c r="D12" s="24" t="inlineStr">
        <is>
          <t>Lưng giữa, Tay trước</t>
        </is>
      </c>
      <c r="E12" s="24" t="inlineStr">
        <is>
          <t>Dumbbell (Tạ đơn)</t>
        </is>
      </c>
      <c r="F12" s="24" t="inlineStr">
        <is>
          <t>Compound</t>
        </is>
      </c>
      <c r="G12" s="24" t="inlineStr">
        <is>
          <t>Cơ bản - Dễ tập</t>
        </is>
      </c>
      <c r="H12" s="24" t="inlineStr">
        <is>
          <t>10 - 12 reps</t>
        </is>
      </c>
      <c r="I12" s="38" t="inlineStr">
        <is>
          <t>Nằm sấp trên ghế dốc 45 độ, kéo tạ ép lưng, triệt tiêu áp lực lưng dưới</t>
        </is>
      </c>
      <c r="J12" s="38" t="inlineStr">
        <is>
          <t>Seated Cable Row</t>
        </is>
      </c>
      <c r="K12" s="38" t="inlineStr">
        <is>
          <t>RẤT KHUYÊN DÙNG cho người thiếu cân</t>
        </is>
      </c>
    </row>
    <row r="13" ht="22" customHeight="1">
      <c r="A13" s="41" t="inlineStr">
        <is>
          <t>EX010</t>
        </is>
      </c>
      <c r="B13" s="42" t="inlineStr">
        <is>
          <t>Face Pull (Kéo cáp mặt)</t>
        </is>
      </c>
      <c r="C13" s="41" t="inlineStr">
        <is>
          <t>Lưng / Xô</t>
        </is>
      </c>
      <c r="D13" s="41" t="inlineStr">
        <is>
          <t>Vai sau, Cầu vai</t>
        </is>
      </c>
      <c r="E13" s="41" t="inlineStr">
        <is>
          <t>Cable (Kéo cáp)</t>
        </is>
      </c>
      <c r="F13" s="41" t="inlineStr">
        <is>
          <t>Isolation</t>
        </is>
      </c>
      <c r="G13" s="41" t="inlineStr">
        <is>
          <t>Cơ bản - Dễ tập</t>
        </is>
      </c>
      <c r="H13" s="41" t="inlineStr">
        <is>
          <t>12 - 15 reps</t>
        </is>
      </c>
      <c r="I13" s="43" t="inlineStr">
        <is>
          <t>Kéo dây thừng về ngang mắt, xoay mở cổ tay ra ngoài</t>
        </is>
      </c>
      <c r="J13" s="43" t="inlineStr">
        <is>
          <t>Reverse Pec Deck Fly</t>
        </is>
      </c>
      <c r="K13" s="43" t="inlineStr">
        <is>
          <t>Bảo vệ khớp vai và chỉnh sửa tư thế gù lưng</t>
        </is>
      </c>
    </row>
    <row r="14" ht="22" customHeight="1">
      <c r="A14" s="24" t="inlineStr">
        <is>
          <t>EX011</t>
        </is>
      </c>
      <c r="B14" s="37" t="inlineStr">
        <is>
          <t>Seated Dumbbell Shoulder Press</t>
        </is>
      </c>
      <c r="C14" s="24" t="inlineStr">
        <is>
          <t>Vai</t>
        </is>
      </c>
      <c r="D14" s="24" t="inlineStr">
        <is>
          <t>Tay sau, Cầu vai</t>
        </is>
      </c>
      <c r="E14" s="24" t="inlineStr">
        <is>
          <t>Dumbbell (Tạ đơn)</t>
        </is>
      </c>
      <c r="F14" s="24" t="inlineStr">
        <is>
          <t>Compound</t>
        </is>
      </c>
      <c r="G14" s="24" t="inlineStr">
        <is>
          <t>Trung bình</t>
        </is>
      </c>
      <c r="H14" s="24" t="inlineStr">
        <is>
          <t>8 - 10 reps</t>
        </is>
      </c>
      <c r="I14" s="38" t="inlineStr">
        <is>
          <t>Ngồi ghế tựa lưng thẳng, đẩy tạ qua đầu, hạ tạ ngang tai</t>
        </is>
      </c>
      <c r="J14" s="38" t="inlineStr">
        <is>
          <t>Machine Shoulder Press</t>
        </is>
      </c>
      <c r="K14" s="38" t="inlineStr">
        <is>
          <t>Không ưỡn cong thắt lưng</t>
        </is>
      </c>
    </row>
    <row r="15" ht="22" customHeight="1">
      <c r="A15" s="41" t="inlineStr">
        <is>
          <t>EX012</t>
        </is>
      </c>
      <c r="B15" s="42" t="inlineStr">
        <is>
          <t>Dumbbell Lateral Raise</t>
        </is>
      </c>
      <c r="C15" s="41" t="inlineStr">
        <is>
          <t>Vai</t>
        </is>
      </c>
      <c r="D15" s="41" t="inlineStr">
        <is>
          <t>Cầu vai</t>
        </is>
      </c>
      <c r="E15" s="41" t="inlineStr">
        <is>
          <t>Dumbbell (Tạ đơn)</t>
        </is>
      </c>
      <c r="F15" s="41" t="inlineStr">
        <is>
          <t>Isolation</t>
        </is>
      </c>
      <c r="G15" s="41" t="inlineStr">
        <is>
          <t>Cơ bản - Dễ tập</t>
        </is>
      </c>
      <c r="H15" s="41" t="inlineStr">
        <is>
          <t>12 - 15 reps</t>
        </is>
      </c>
      <c r="I15" s="43" t="inlineStr">
        <is>
          <t>Nâng tạ sang hai bên, cổ tay nghiêng nhẹ, không nhún người lấy đà</t>
        </is>
      </c>
      <c r="J15" s="43" t="inlineStr">
        <is>
          <t>Cable Lateral Raise</t>
        </is>
      </c>
      <c r="K15" s="43" t="inlineStr">
        <is>
          <t>Dùng tạ nhẹ (2-4kg), tập trung cảm nhận cơ</t>
        </is>
      </c>
    </row>
    <row r="16" ht="22" customHeight="1">
      <c r="A16" s="24" t="inlineStr">
        <is>
          <t>EX013</t>
        </is>
      </c>
      <c r="B16" s="37" t="inlineStr">
        <is>
          <t>Cable Lateral Raise</t>
        </is>
      </c>
      <c r="C16" s="24" t="inlineStr">
        <is>
          <t>Vai</t>
        </is>
      </c>
      <c r="D16" s="24" t="inlineStr">
        <is>
          <t>Cầu vai</t>
        </is>
      </c>
      <c r="E16" s="24" t="inlineStr">
        <is>
          <t>Cable (Kéo cáp)</t>
        </is>
      </c>
      <c r="F16" s="24" t="inlineStr">
        <is>
          <t>Isolation</t>
        </is>
      </c>
      <c r="G16" s="24" t="inlineStr">
        <is>
          <t>Cơ bản - Dễ tập</t>
        </is>
      </c>
      <c r="H16" s="24" t="inlineStr">
        <is>
          <t>12 - 15 reps</t>
        </is>
      </c>
      <c r="I16" s="38" t="inlineStr">
        <is>
          <t>Kéo cáp ngang hông sang bên, sức căng liên tục toàn biên độ</t>
        </is>
      </c>
      <c r="J16" s="38" t="inlineStr">
        <is>
          <t>Dumbbell Lateral Raise</t>
        </is>
      </c>
      <c r="K16" s="38" t="inlineStr">
        <is>
          <t>Hiệu quả phì đại vai ngang cực cao</t>
        </is>
      </c>
    </row>
    <row r="17" ht="22" customHeight="1">
      <c r="A17" s="41" t="inlineStr">
        <is>
          <t>EX014</t>
        </is>
      </c>
      <c r="B17" s="42" t="inlineStr">
        <is>
          <t>Reverse Pec Deck Fly</t>
        </is>
      </c>
      <c r="C17" s="41" t="inlineStr">
        <is>
          <t>Vai</t>
        </is>
      </c>
      <c r="D17" s="41" t="inlineStr">
        <is>
          <t>Lưng giữa</t>
        </is>
      </c>
      <c r="E17" s="41" t="inlineStr">
        <is>
          <t>Machine (Máy tập)</t>
        </is>
      </c>
      <c r="F17" s="41" t="inlineStr">
        <is>
          <t>Isolation</t>
        </is>
      </c>
      <c r="G17" s="41" t="inlineStr">
        <is>
          <t>Cơ bản - Dễ tập</t>
        </is>
      </c>
      <c r="H17" s="41" t="inlineStr">
        <is>
          <t>12 - 15 reps</t>
        </is>
      </c>
      <c r="I17" s="43" t="inlineStr">
        <is>
          <t>Ngồi quay mặt vào máy, mở tay sang ngang ép vai sau</t>
        </is>
      </c>
      <c r="J17" s="43" t="inlineStr">
        <is>
          <t>Dumbbell Rear Delt Fly</t>
        </is>
      </c>
      <c r="K17" s="43" t="inlineStr">
        <is>
          <t>Cô lập vai sau an toàn</t>
        </is>
      </c>
    </row>
    <row r="18" ht="22" customHeight="1">
      <c r="A18" s="24" t="inlineStr">
        <is>
          <t>EX015</t>
        </is>
      </c>
      <c r="B18" s="37" t="inlineStr">
        <is>
          <t>Goblet Squat (Squat ôm tạ)</t>
        </is>
      </c>
      <c r="C18" s="24" t="inlineStr">
        <is>
          <t>Đùi trước</t>
        </is>
      </c>
      <c r="D18" s="24" t="inlineStr">
        <is>
          <t>Mông, Core</t>
        </is>
      </c>
      <c r="E18" s="24" t="inlineStr">
        <is>
          <t>Dumbbell (Tạ đơn)</t>
        </is>
      </c>
      <c r="F18" s="24" t="inlineStr">
        <is>
          <t>Compound</t>
        </is>
      </c>
      <c r="G18" s="24" t="inlineStr">
        <is>
          <t>Cơ bản - Dễ tập</t>
        </is>
      </c>
      <c r="H18" s="24" t="inlineStr">
        <is>
          <t>8 - 12 reps</t>
        </is>
      </c>
      <c r="I18" s="38" t="inlineStr">
        <is>
          <t>Ôm 1 quả tạ đơn trước ngực, mở rộng chân, ngồi xổm sâu thẳng lưng</t>
        </is>
      </c>
      <c r="J18" s="38" t="inlineStr">
        <is>
          <t>Leg Press</t>
        </is>
      </c>
      <c r="K18" s="38" t="inlineStr">
        <is>
          <t>BÀI NỀN TẢNG hoàn hảo trước khi tập tạ đòn</t>
        </is>
      </c>
    </row>
    <row r="19" ht="22" customHeight="1">
      <c r="A19" s="41" t="inlineStr">
        <is>
          <t>EX016</t>
        </is>
      </c>
      <c r="B19" s="42" t="inlineStr">
        <is>
          <t>Leg Press (Máy đạp đùi)</t>
        </is>
      </c>
      <c r="C19" s="41" t="inlineStr">
        <is>
          <t>Đùi trước</t>
        </is>
      </c>
      <c r="D19" s="41" t="inlineStr">
        <is>
          <t>Mông, Bắp chân</t>
        </is>
      </c>
      <c r="E19" s="41" t="inlineStr">
        <is>
          <t>Machine (Máy tập)</t>
        </is>
      </c>
      <c r="F19" s="41" t="inlineStr">
        <is>
          <t>Compound</t>
        </is>
      </c>
      <c r="G19" s="41" t="inlineStr">
        <is>
          <t>Cơ bản - Dễ tập</t>
        </is>
      </c>
      <c r="H19" s="41" t="inlineStr">
        <is>
          <t>10 - 12 reps</t>
        </is>
      </c>
      <c r="I19" s="43" t="inlineStr">
        <is>
          <t>Đặt chân giữa bàn đạp, hạ đùi góc 90 độ, đẩy lên KHÔNG khóa khớp gối</t>
        </is>
      </c>
      <c r="J19" s="43" t="inlineStr">
        <is>
          <t>Goblet Squat</t>
        </is>
      </c>
      <c r="K19" s="43" t="inlineStr">
        <is>
          <t>Tuyệt đối không để cong mông nhấc khỏi ghế</t>
        </is>
      </c>
    </row>
    <row r="20" ht="22" customHeight="1">
      <c r="A20" s="24" t="inlineStr">
        <is>
          <t>EX017</t>
        </is>
      </c>
      <c r="B20" s="37" t="inlineStr">
        <is>
          <t>Barbell Back Squat</t>
        </is>
      </c>
      <c r="C20" s="24" t="inlineStr">
        <is>
          <t>Đùi trước</t>
        </is>
      </c>
      <c r="D20" s="24" t="inlineStr">
        <is>
          <t>Mông, Lưng dưới</t>
        </is>
      </c>
      <c r="E20" s="24" t="inlineStr">
        <is>
          <t>Barbell (Tạ đòn)</t>
        </is>
      </c>
      <c r="F20" s="24" t="inlineStr">
        <is>
          <t>Compound</t>
        </is>
      </c>
      <c r="G20" s="24" t="inlineStr">
        <is>
          <t>Nâng cao - Cần kiểm soát</t>
        </is>
      </c>
      <c r="H20" s="24" t="inlineStr">
        <is>
          <t>6 - 8 reps</t>
        </is>
      </c>
      <c r="I20" s="38" t="inlineStr">
        <is>
          <t>Đặt thanh đòn trên cầu vai, gồng core, ngồi xổm phá vỡ song song</t>
        </is>
      </c>
      <c r="J20" s="38" t="inlineStr">
        <is>
          <t>Goblet Squat</t>
        </is>
      </c>
      <c r="K20" s="38" t="inlineStr">
        <is>
          <t>Chỉ tập khi có người đỡ tạ hoặc đã vững kỹ thuật</t>
        </is>
      </c>
    </row>
    <row r="21" ht="22" customHeight="1">
      <c r="A21" s="41" t="inlineStr">
        <is>
          <t>EX018</t>
        </is>
      </c>
      <c r="B21" s="42" t="inlineStr">
        <is>
          <t>Leg Extension (Máy đá đùi)</t>
        </is>
      </c>
      <c r="C21" s="41" t="inlineStr">
        <is>
          <t>Đùi trước</t>
        </is>
      </c>
      <c r="D21" s="41" t="inlineStr">
        <is>
          <t>Không</t>
        </is>
      </c>
      <c r="E21" s="41" t="inlineStr">
        <is>
          <t>Machine (Máy tập)</t>
        </is>
      </c>
      <c r="F21" s="41" t="inlineStr">
        <is>
          <t>Isolation</t>
        </is>
      </c>
      <c r="G21" s="41" t="inlineStr">
        <is>
          <t>Cơ bản - Dễ tập</t>
        </is>
      </c>
      <c r="H21" s="41" t="inlineStr">
        <is>
          <t>12 - 15 reps</t>
        </is>
      </c>
      <c r="I21" s="43" t="inlineStr">
        <is>
          <t>Đá chân thẳng lên, siết đùi trước 1s, hạ chậm 3s</t>
        </is>
      </c>
      <c r="J21" s="43" t="inlineStr">
        <is>
          <t>Bodyweight Sissy Squat</t>
        </is>
      </c>
      <c r="K21" s="43" t="inlineStr">
        <is>
          <t>Không để tạ rơi tự do giật khớp gối</t>
        </is>
      </c>
    </row>
    <row r="22" ht="22" customHeight="1">
      <c r="A22" s="24" t="inlineStr">
        <is>
          <t>EX019</t>
        </is>
      </c>
      <c r="B22" s="37" t="inlineStr">
        <is>
          <t>Dumbbell Romanian Deadlift (RDL)</t>
        </is>
      </c>
      <c r="C22" s="24" t="inlineStr">
        <is>
          <t>Đùi sau</t>
        </is>
      </c>
      <c r="D22" s="24" t="inlineStr">
        <is>
          <t>Mông, Lưng dưới</t>
        </is>
      </c>
      <c r="E22" s="24" t="inlineStr">
        <is>
          <t>Dumbbell (Tạ đơn)</t>
        </is>
      </c>
      <c r="F22" s="24" t="inlineStr">
        <is>
          <t>Compound</t>
        </is>
      </c>
      <c r="G22" s="24" t="inlineStr">
        <is>
          <t>Trung bình</t>
        </is>
      </c>
      <c r="H22" s="24" t="inlineStr">
        <is>
          <t>8 - 10 reps</t>
        </is>
      </c>
      <c r="I22" s="38" t="inlineStr">
        <is>
          <t>Hơi trùng gối nhẹ, đẩy mông về sau hết cỡ kéo căng đùi sau</t>
        </is>
      </c>
      <c r="J22" s="38" t="inlineStr">
        <is>
          <t>Barbell RDL</t>
        </is>
      </c>
      <c r="K22" s="38" t="inlineStr">
        <is>
          <t>Cột sống lưng PHẢI GIỮ THẲNG tuyệt đối</t>
        </is>
      </c>
    </row>
    <row r="23" ht="22" customHeight="1">
      <c r="A23" s="41" t="inlineStr">
        <is>
          <t>EX020</t>
        </is>
      </c>
      <c r="B23" s="42" t="inlineStr">
        <is>
          <t>Seated Leg Curl (Máy cuộn đùi ngồi)</t>
        </is>
      </c>
      <c r="C23" s="41" t="inlineStr">
        <is>
          <t>Đùi sau</t>
        </is>
      </c>
      <c r="D23" s="41" t="inlineStr">
        <is>
          <t>Bắp chân</t>
        </is>
      </c>
      <c r="E23" s="41" t="inlineStr">
        <is>
          <t>Machine (Máy tập)</t>
        </is>
      </c>
      <c r="F23" s="41" t="inlineStr">
        <is>
          <t>Isolation</t>
        </is>
      </c>
      <c r="G23" s="41" t="inlineStr">
        <is>
          <t>Cơ bản - Dễ tập</t>
        </is>
      </c>
      <c r="H23" s="41" t="inlineStr">
        <is>
          <t>10 - 12 reps</t>
        </is>
      </c>
      <c r="I23" s="43" t="inlineStr">
        <is>
          <t>Cuộn chân xuống dưới ghế, siết cơ đùi sau, nhả chậm</t>
        </is>
      </c>
      <c r="J23" s="43" t="inlineStr">
        <is>
          <t>Lying Leg Curl</t>
        </is>
      </c>
      <c r="K23" s="43" t="inlineStr">
        <is>
          <t>Bảo vệ gân kheo và dây chằng gối</t>
        </is>
      </c>
    </row>
    <row r="24" ht="22" customHeight="1">
      <c r="A24" s="24" t="inlineStr">
        <is>
          <t>EX021</t>
        </is>
      </c>
      <c r="B24" s="37" t="inlineStr">
        <is>
          <t>Lying Leg Curl (Máy cuộn đùi nằm)</t>
        </is>
      </c>
      <c r="C24" s="24" t="inlineStr">
        <is>
          <t>Đùi sau</t>
        </is>
      </c>
      <c r="D24" s="24" t="inlineStr">
        <is>
          <t>Bắp chân</t>
        </is>
      </c>
      <c r="E24" s="24" t="inlineStr">
        <is>
          <t>Machine (Máy tập)</t>
        </is>
      </c>
      <c r="F24" s="24" t="inlineStr">
        <is>
          <t>Isolation</t>
        </is>
      </c>
      <c r="G24" s="24" t="inlineStr">
        <is>
          <t>Cơ bản - Dễ tập</t>
        </is>
      </c>
      <c r="H24" s="24" t="inlineStr">
        <is>
          <t>10 - 12 reps</t>
        </is>
      </c>
      <c r="I24" s="38" t="inlineStr">
        <is>
          <t>Nằm sấp, gập cẳng chân lên ép sát mông</t>
        </is>
      </c>
      <c r="J24" s="38" t="inlineStr">
        <is>
          <t>Seated Leg Curl</t>
        </is>
      </c>
      <c r="K24" s="38" t="inlineStr">
        <is>
          <t>Không nhấc hông khỏi đệm khi cuộn</t>
        </is>
      </c>
    </row>
    <row r="25" ht="22" customHeight="1">
      <c r="A25" s="41" t="inlineStr">
        <is>
          <t>EX022</t>
        </is>
      </c>
      <c r="B25" s="42" t="inlineStr">
        <is>
          <t>Barbell / Dumbbell Hip Thrust</t>
        </is>
      </c>
      <c r="C25" s="41" t="inlineStr">
        <is>
          <t>Mông</t>
        </is>
      </c>
      <c r="D25" s="41" t="inlineStr">
        <is>
          <t>Đùi sau</t>
        </is>
      </c>
      <c r="E25" s="41" t="inlineStr">
        <is>
          <t>Barbell (Tạ đòn)</t>
        </is>
      </c>
      <c r="F25" s="41" t="inlineStr">
        <is>
          <t>Compound</t>
        </is>
      </c>
      <c r="G25" s="41" t="inlineStr">
        <is>
          <t>Trung bình</t>
        </is>
      </c>
      <c r="H25" s="41" t="inlineStr">
        <is>
          <t>8 - 12 reps</t>
        </is>
      </c>
      <c r="I25" s="43" t="inlineStr">
        <is>
          <t>Tựa lưng trên ghế ngang, đẩy hông lên song song mặt sàn, siết mông</t>
        </is>
      </c>
      <c r="J25" s="43" t="inlineStr">
        <is>
          <t>Glute Bridge</t>
        </is>
      </c>
      <c r="K25" s="43" t="inlineStr">
        <is>
          <t>Không ưỡn lưng dưới ở đỉnh</t>
        </is>
      </c>
    </row>
    <row r="26" ht="22" customHeight="1">
      <c r="A26" s="24" t="inlineStr">
        <is>
          <t>EX023</t>
        </is>
      </c>
      <c r="B26" s="37" t="inlineStr">
        <is>
          <t>Standing Calf Raise (Nhón bắp chân)</t>
        </is>
      </c>
      <c r="C26" s="24" t="inlineStr">
        <is>
          <t>Bắp chân</t>
        </is>
      </c>
      <c r="D26" s="24" t="inlineStr">
        <is>
          <t>Không</t>
        </is>
      </c>
      <c r="E26" s="24" t="inlineStr">
        <is>
          <t>Machine (Máy tập)</t>
        </is>
      </c>
      <c r="F26" s="24" t="inlineStr">
        <is>
          <t>Isolation</t>
        </is>
      </c>
      <c r="G26" s="24" t="inlineStr">
        <is>
          <t>Cơ bản - Dễ tập</t>
        </is>
      </c>
      <c r="H26" s="24" t="inlineStr">
        <is>
          <t>12 - 15 reps</t>
        </is>
      </c>
      <c r="I26" s="38" t="inlineStr">
        <is>
          <t>Nhón gót chân lên cao tối đa, giữ 1s, hạ gót sâu kéo căng</t>
        </is>
      </c>
      <c r="J26" s="38" t="inlineStr">
        <is>
          <t>Seated Calf Raise</t>
        </is>
      </c>
      <c r="K26" s="38" t="inlineStr">
        <is>
          <t>Tránh nhún lấy đà</t>
        </is>
      </c>
    </row>
    <row r="27" ht="22" customHeight="1">
      <c r="A27" s="41" t="inlineStr">
        <is>
          <t>EX024</t>
        </is>
      </c>
      <c r="B27" s="42" t="inlineStr">
        <is>
          <t>Incline Dumbbell Curl</t>
        </is>
      </c>
      <c r="C27" s="41" t="inlineStr">
        <is>
          <t>Tay trước (Biceps)</t>
        </is>
      </c>
      <c r="D27" s="41" t="inlineStr">
        <is>
          <t>Cẳng tay</t>
        </is>
      </c>
      <c r="E27" s="41" t="inlineStr">
        <is>
          <t>Dumbbell (Tạ đơn)</t>
        </is>
      </c>
      <c r="F27" s="41" t="inlineStr">
        <is>
          <t>Isolation</t>
        </is>
      </c>
      <c r="G27" s="41" t="inlineStr">
        <is>
          <t>Cơ bản - Dễ tập</t>
        </is>
      </c>
      <c r="H27" s="41" t="inlineStr">
        <is>
          <t>10 - 12 reps</t>
        </is>
      </c>
      <c r="I27" s="43" t="inlineStr">
        <is>
          <t>Nằm ghế dốc 45 độ, thả lỏng tay kéo căng bắp tay, cuộn lên</t>
        </is>
      </c>
      <c r="J27" s="43" t="inlineStr">
        <is>
          <t>Standing Dumbbell Curl</t>
        </is>
      </c>
      <c r="K27" s="43" t="inlineStr">
        <is>
          <t>Tạo độ kéo căng đầu dài bắp tay cực tốt</t>
        </is>
      </c>
    </row>
    <row r="28" ht="22" customHeight="1">
      <c r="A28" s="24" t="inlineStr">
        <is>
          <t>EX025</t>
        </is>
      </c>
      <c r="B28" s="37" t="inlineStr">
        <is>
          <t>Standing Barbell / EZ Bar Curl</t>
        </is>
      </c>
      <c r="C28" s="24" t="inlineStr">
        <is>
          <t>Tay trước (Biceps)</t>
        </is>
      </c>
      <c r="D28" s="24" t="inlineStr">
        <is>
          <t>Cẳng tay</t>
        </is>
      </c>
      <c r="E28" s="24" t="inlineStr">
        <is>
          <t>Barbell (Tạ đòn)</t>
        </is>
      </c>
      <c r="F28" s="24" t="inlineStr">
        <is>
          <t>Isolation</t>
        </is>
      </c>
      <c r="G28" s="24" t="inlineStr">
        <is>
          <t>Cơ bản - Dễ tập</t>
        </is>
      </c>
      <c r="H28" s="24" t="inlineStr">
        <is>
          <t>8 - 10 reps</t>
        </is>
      </c>
      <c r="I28" s="38" t="inlineStr">
        <is>
          <t>Đứng thẳng, cuộn thanh tạ lên ngang ngực, giữ khuỷu tay cố định</t>
        </is>
      </c>
      <c r="J28" s="38" t="inlineStr">
        <is>
          <t>Dumbbell Curl</t>
        </is>
      </c>
      <c r="K28" s="38" t="inlineStr">
        <is>
          <t>Dùng thanh đòn Z (EZ bar) để êm cổ tay</t>
        </is>
      </c>
    </row>
    <row r="29" ht="22" customHeight="1">
      <c r="A29" s="41" t="inlineStr">
        <is>
          <t>EX026</t>
        </is>
      </c>
      <c r="B29" s="42" t="inlineStr">
        <is>
          <t>Hammer Curl (Cuộn tạ búa)</t>
        </is>
      </c>
      <c r="C29" s="41" t="inlineStr">
        <is>
          <t>Tay trước (Biceps)</t>
        </is>
      </c>
      <c r="D29" s="41" t="inlineStr">
        <is>
          <t>Cẳng tay (Brachialis)</t>
        </is>
      </c>
      <c r="E29" s="41" t="inlineStr">
        <is>
          <t>Dumbbell (Tạ đơn)</t>
        </is>
      </c>
      <c r="F29" s="41" t="inlineStr">
        <is>
          <t>Isolation</t>
        </is>
      </c>
      <c r="G29" s="41" t="inlineStr">
        <is>
          <t>Cơ bản - Dễ tập</t>
        </is>
      </c>
      <c r="H29" s="41" t="inlineStr">
        <is>
          <t>10 - 12 reps</t>
        </is>
      </c>
      <c r="I29" s="43" t="inlineStr">
        <is>
          <t>Cầm tạ đơn hướng lòng bàn tay vào nhau, cuộn lên làm dày bắp tay</t>
        </is>
      </c>
      <c r="J29" s="43" t="inlineStr">
        <is>
          <t>Cable Rope Hammer Curl</t>
        </is>
      </c>
      <c r="K29" s="43" t="inlineStr">
        <is>
          <t>Giúp tăng kích thước cánh tay nhanh chóng</t>
        </is>
      </c>
    </row>
    <row r="30" ht="22" customHeight="1">
      <c r="A30" s="24" t="inlineStr">
        <is>
          <t>EX027</t>
        </is>
      </c>
      <c r="B30" s="37" t="inlineStr">
        <is>
          <t>Tricep Cable Rope Pushdown</t>
        </is>
      </c>
      <c r="C30" s="24" t="inlineStr">
        <is>
          <t>Tay sau (Triceps)</t>
        </is>
      </c>
      <c r="D30" s="24" t="inlineStr">
        <is>
          <t>Không</t>
        </is>
      </c>
      <c r="E30" s="24" t="inlineStr">
        <is>
          <t>Cable (Kéo cáp)</t>
        </is>
      </c>
      <c r="F30" s="24" t="inlineStr">
        <is>
          <t>Isolation</t>
        </is>
      </c>
      <c r="G30" s="24" t="inlineStr">
        <is>
          <t>Cơ bản - Dễ tập</t>
        </is>
      </c>
      <c r="H30" s="24" t="inlineStr">
        <is>
          <t>10 - 12 reps</t>
        </is>
      </c>
      <c r="I30" s="38" t="inlineStr">
        <is>
          <t>Cố định khuỷu tay sát sườn, đẩy dây cáp xuống tách 2 đầu dây</t>
        </is>
      </c>
      <c r="J30" s="38" t="inlineStr">
        <is>
          <t>Straight Bar Pushdown</t>
        </is>
      </c>
      <c r="K30" s="38" t="inlineStr">
        <is>
          <t>Tuyệt đối không vung vẩy khuỷu tay</t>
        </is>
      </c>
    </row>
    <row r="31" ht="22" customHeight="1">
      <c r="A31" s="41" t="inlineStr">
        <is>
          <t>EX028</t>
        </is>
      </c>
      <c r="B31" s="42" t="inlineStr">
        <is>
          <t>Overhead Dumbbell Tricep Extension</t>
        </is>
      </c>
      <c r="C31" s="41" t="inlineStr">
        <is>
          <t>Tay sau (Triceps)</t>
        </is>
      </c>
      <c r="D31" s="41" t="inlineStr">
        <is>
          <t>Không</t>
        </is>
      </c>
      <c r="E31" s="41" t="inlineStr">
        <is>
          <t>Dumbbell (Tạ đơn)</t>
        </is>
      </c>
      <c r="F31" s="41" t="inlineStr">
        <is>
          <t>Isolation</t>
        </is>
      </c>
      <c r="G31" s="41" t="inlineStr">
        <is>
          <t>Trung bình</t>
        </is>
      </c>
      <c r="H31" s="41" t="inlineStr">
        <is>
          <t>10 - 12 reps</t>
        </is>
      </c>
      <c r="I31" s="43" t="inlineStr">
        <is>
          <t>Hai tay ôm 1 quả tạ đơn đưa qua đầu, hạ tạ sau gáy rồi duỗi thẳng</t>
        </is>
      </c>
      <c r="J31" s="43" t="inlineStr">
        <is>
          <t>Cable Overhead Tricep Ext</t>
        </is>
      </c>
      <c r="K31" s="43" t="inlineStr">
        <is>
          <t>Khởi động kỹ khớp khuỷu tay</t>
        </is>
      </c>
    </row>
    <row r="32" ht="22" customHeight="1">
      <c r="A32" s="24" t="inlineStr">
        <is>
          <t>EX029</t>
        </is>
      </c>
      <c r="B32" s="37" t="inlineStr">
        <is>
          <t>Close-Grip Bench Press</t>
        </is>
      </c>
      <c r="C32" s="24" t="inlineStr">
        <is>
          <t>Tay sau (Triceps)</t>
        </is>
      </c>
      <c r="D32" s="24" t="inlineStr">
        <is>
          <t>Ngực, Vai trước</t>
        </is>
      </c>
      <c r="E32" s="24" t="inlineStr">
        <is>
          <t>Barbell (Tạ đòn)</t>
        </is>
      </c>
      <c r="F32" s="24" t="inlineStr">
        <is>
          <t>Compound</t>
        </is>
      </c>
      <c r="G32" s="24" t="inlineStr">
        <is>
          <t>Trung bình</t>
        </is>
      </c>
      <c r="H32" s="24" t="inlineStr">
        <is>
          <t>8 - 10 reps</t>
        </is>
      </c>
      <c r="I32" s="38" t="inlineStr">
        <is>
          <t>Nằm ghế phẳng, cầm tạ đòn khoảng cách tay bằng vai, đẩy lên</t>
        </is>
      </c>
      <c r="J32" s="38" t="inlineStr">
        <is>
          <t>Dips (Xà kép)</t>
        </is>
      </c>
      <c r="K32" s="38" t="inlineStr">
        <is>
          <t>Không cầm tay quá hẹp gây đau cổ tay</t>
        </is>
      </c>
    </row>
    <row r="33" ht="22" customHeight="1">
      <c r="A33" s="41" t="inlineStr">
        <is>
          <t>EX030</t>
        </is>
      </c>
      <c r="B33" s="42" t="inlineStr">
        <is>
          <t>Plank</t>
        </is>
      </c>
      <c r="C33" s="41" t="inlineStr">
        <is>
          <t>Bụng / Core</t>
        </is>
      </c>
      <c r="D33" s="41" t="inlineStr">
        <is>
          <t>Lưng dưới, Vai</t>
        </is>
      </c>
      <c r="E33" s="41" t="inlineStr">
        <is>
          <t>Bodyweight</t>
        </is>
      </c>
      <c r="F33" s="41" t="inlineStr">
        <is>
          <t>Isolation</t>
        </is>
      </c>
      <c r="G33" s="41" t="inlineStr">
        <is>
          <t>Cơ bản - Dễ tập</t>
        </is>
      </c>
      <c r="H33" s="41" t="inlineStr">
        <is>
          <t>30 - 45 giây</t>
        </is>
      </c>
      <c r="I33" s="43" t="inlineStr">
        <is>
          <t>Chống cùi chỏ, siết bụng mông đùi tạo thành 1 đường thẳng tắp</t>
        </is>
      </c>
      <c r="J33" s="43" t="inlineStr">
        <is>
          <t>Knee Plank</t>
        </is>
      </c>
      <c r="K33" s="43" t="inlineStr">
        <is>
          <t>Không võng lưng, không chổng mông lên trời</t>
        </is>
      </c>
    </row>
    <row r="34" ht="22" customHeight="1">
      <c r="A34" s="24" t="inlineStr">
        <is>
          <t>EX031</t>
        </is>
      </c>
      <c r="B34" s="37" t="inlineStr">
        <is>
          <t>Hanging Knee Raise (Treo người co gối)</t>
        </is>
      </c>
      <c r="C34" s="24" t="inlineStr">
        <is>
          <t>Bụng / Core</t>
        </is>
      </c>
      <c r="D34" s="24" t="inlineStr">
        <is>
          <t>Cơ gấp hông</t>
        </is>
      </c>
      <c r="E34" s="24" t="inlineStr">
        <is>
          <t>Bodyweight</t>
        </is>
      </c>
      <c r="F34" s="24" t="inlineStr">
        <is>
          <t>Compound</t>
        </is>
      </c>
      <c r="G34" s="24" t="inlineStr">
        <is>
          <t>Trung bình</t>
        </is>
      </c>
      <c r="H34" s="24" t="inlineStr">
        <is>
          <t>10 - 12 reps</t>
        </is>
      </c>
      <c r="I34" s="38" t="inlineStr">
        <is>
          <t>Treo người trên xà đơn, co gối cuộn xương chậu lên ngực</t>
        </is>
      </c>
      <c r="J34" s="38" t="inlineStr">
        <is>
          <t>Lying Leg Raise</t>
        </is>
      </c>
      <c r="K34" s="38" t="inlineStr">
        <is>
          <t>Không đung đưa người như con lắc</t>
        </is>
      </c>
    </row>
    <row r="35" ht="22" customHeight="1">
      <c r="A35" s="41" t="inlineStr">
        <is>
          <t>EX032</t>
        </is>
      </c>
      <c r="B35" s="42" t="inlineStr">
        <is>
          <t>Cable Crunch (Quỳ kéo cáp gập bụng)</t>
        </is>
      </c>
      <c r="C35" s="41" t="inlineStr">
        <is>
          <t>Bụng / Core</t>
        </is>
      </c>
      <c r="D35" s="41" t="inlineStr">
        <is>
          <t>Không</t>
        </is>
      </c>
      <c r="E35" s="41" t="inlineStr">
        <is>
          <t>Cable (Kéo cáp)</t>
        </is>
      </c>
      <c r="F35" s="41" t="inlineStr">
        <is>
          <t>Isolation</t>
        </is>
      </c>
      <c r="G35" s="41" t="inlineStr">
        <is>
          <t>Cơ bản - Dễ tập</t>
        </is>
      </c>
      <c r="H35" s="41" t="inlineStr">
        <is>
          <t>12 - 15 reps</t>
        </is>
      </c>
      <c r="I35" s="43" t="inlineStr">
        <is>
          <t>Quỳ gối trước máy cáp, giữ dây thừng ngang trán, gập cong người lại</t>
        </is>
      </c>
      <c r="J35" s="43" t="inlineStr">
        <is>
          <t>Machine Crunch</t>
        </is>
      </c>
      <c r="K35" s="43" t="inlineStr">
        <is>
          <t>Gập bằng cơ bụng, không gập bằng khớp hông</t>
        </is>
      </c>
    </row>
    <row r="36" ht="22" customHeight="1">
      <c r="A36" s="24" t="inlineStr">
        <is>
          <t>EX033</t>
        </is>
      </c>
      <c r="B36" s="37" t="inlineStr">
        <is>
          <t>Bulgarian Split Squat</t>
        </is>
      </c>
      <c r="C36" s="24" t="inlineStr">
        <is>
          <t>Đùi trước</t>
        </is>
      </c>
      <c r="D36" s="24" t="inlineStr">
        <is>
          <t>Mông</t>
        </is>
      </c>
      <c r="E36" s="24" t="inlineStr">
        <is>
          <t>Dumbbell (Tạ đơn)</t>
        </is>
      </c>
      <c r="F36" s="24" t="inlineStr">
        <is>
          <t>Compound</t>
        </is>
      </c>
      <c r="G36" s="24" t="inlineStr">
        <is>
          <t>Nâng cao - Cần kiểm soát</t>
        </is>
      </c>
      <c r="H36" s="24" t="inlineStr">
        <is>
          <t>8 - 10 reps/chân</t>
        </is>
      </c>
      <c r="I36" s="38" t="inlineStr">
        <is>
          <t>Một chân gác sau ghế, hạ người thẳng đứng tập từng chân</t>
        </is>
      </c>
      <c r="J36" s="38" t="inlineStr">
        <is>
          <t>Lunge</t>
        </is>
      </c>
      <c r="K36" s="38" t="inlineStr">
        <is>
          <t>Khắc phục lệch cơ hai chân rất hiệu quả</t>
        </is>
      </c>
    </row>
    <row r="37" ht="22" customHeight="1">
      <c r="A37" s="41" t="inlineStr">
        <is>
          <t>EX034</t>
        </is>
      </c>
      <c r="B37" s="42" t="inlineStr">
        <is>
          <t>Dumbbell Shrug (Nhún tạ cầu vai)</t>
        </is>
      </c>
      <c r="C37" s="41" t="inlineStr">
        <is>
          <t>Lưng / Xô</t>
        </is>
      </c>
      <c r="D37" s="41" t="inlineStr">
        <is>
          <t>Cầu vai</t>
        </is>
      </c>
      <c r="E37" s="41" t="inlineStr">
        <is>
          <t>Dumbbell (Tạ đơn)</t>
        </is>
      </c>
      <c r="F37" s="41" t="inlineStr">
        <is>
          <t>Isolation</t>
        </is>
      </c>
      <c r="G37" s="41" t="inlineStr">
        <is>
          <t>Cơ bản - Dễ tập</t>
        </is>
      </c>
      <c r="H37" s="41" t="inlineStr">
        <is>
          <t>12 - 15 reps</t>
        </is>
      </c>
      <c r="I37" s="43" t="inlineStr">
        <is>
          <t>Cầm tạ đơn 2 bên, nhún vai thẳng lên trần nhà giữ 1s</t>
        </is>
      </c>
      <c r="J37" s="43" t="inlineStr">
        <is>
          <t>Barbell Shrug</t>
        </is>
      </c>
      <c r="K37" s="43" t="inlineStr">
        <is>
          <t>Không xoay khớp vai vòng tròn</t>
        </is>
      </c>
    </row>
    <row r="38" ht="22" customHeight="1">
      <c r="A38" s="24" t="inlineStr">
        <is>
          <t>EX035</t>
        </is>
      </c>
      <c r="B38" s="37" t="inlineStr">
        <is>
          <t>Dumbbell Lunge</t>
        </is>
      </c>
      <c r="C38" s="24" t="inlineStr">
        <is>
          <t>Đùi trước</t>
        </is>
      </c>
      <c r="D38" s="24" t="inlineStr">
        <is>
          <t>Mông</t>
        </is>
      </c>
      <c r="E38" s="24" t="inlineStr">
        <is>
          <t>Dumbbell (Tạ đơn)</t>
        </is>
      </c>
      <c r="F38" s="24" t="inlineStr">
        <is>
          <t>Compound</t>
        </is>
      </c>
      <c r="G38" s="24" t="inlineStr">
        <is>
          <t>Trung bình</t>
        </is>
      </c>
      <c r="H38" s="24" t="inlineStr">
        <is>
          <t>10 reps/chân</t>
        </is>
      </c>
      <c r="I38" s="38" t="inlineStr">
        <is>
          <t>Bước chân tới trước hạ gối góc 90 độ, đẩy gót chân về vị trí cũ</t>
        </is>
      </c>
      <c r="J38" s="38" t="inlineStr">
        <is>
          <t>Split Squat</t>
        </is>
      </c>
      <c r="K38" s="38" t="inlineStr">
        <is>
          <t>Giữ thân người thẳng đứng</t>
        </is>
      </c>
    </row>
  </sheetData>
  <mergeCells count="1">
    <mergeCell ref="A1:K1"/>
  </mergeCells>
  <dataValidations count="1">
    <dataValidation sqref="C4:C50 D4:D50" showDropDown="0" showInputMessage="0" showErrorMessage="0" allowBlank="1" type="list">
      <formula1>='14_SETTINGS_VALIDATION'!$D$4:$D$13</formula1>
    </dataValidation>
  </dataValidations>
  <pageMargins left="0.75" right="0.75" top="1" bottom="1" header="0.5" footer="0.5"/>
</worksheet>
</file>

<file path=xl/worksheets/sheet9.xml><?xml version="1.0" encoding="utf-8"?>
<worksheet xmlns="http://schemas.openxmlformats.org/spreadsheetml/2006/main">
  <sheetPr>
    <tabColor rgb="008B5CF6"/>
    <outlinePr summaryBelow="1" summaryRight="1"/>
    <pageSetUpPr/>
  </sheetPr>
  <dimension ref="A1:N23"/>
  <sheetViews>
    <sheetView showGridLines="1" workbookViewId="0">
      <pane xSplit="4" ySplit="3" topLeftCell="E4"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2" customWidth="1" min="2" max="2"/>
    <col width="16" customWidth="1" min="3" max="3"/>
    <col width="16" customWidth="1" min="4" max="4"/>
    <col width="30" customWidth="1" min="5" max="5"/>
    <col width="8" customWidth="1" min="6" max="6"/>
    <col width="10" customWidth="1" min="7" max="7"/>
    <col width="14" customWidth="1" min="8" max="8"/>
    <col width="14" customWidth="1" min="9" max="9"/>
    <col width="14" customWidth="1" min="10" max="10"/>
    <col width="14" customWidth="1" min="11" max="11"/>
    <col width="32" customWidth="1" min="12" max="12"/>
    <col width="25" customWidth="1" min="13" max="13"/>
    <col width="16" customWidth="1" min="14" max="14"/>
  </cols>
  <sheetData>
    <row r="1" ht="36" customHeight="1">
      <c r="A1" s="1" t="inlineStr">
        <is>
          <t>GIÁO ÁN TĂNG CƠ KHỞI ĐẦU 4 BUỔI UPPER / LOWER (WEEKLY WORKOUT PLAN)</t>
        </is>
      </c>
    </row>
    <row r="2" ht="22" customHeight="1">
      <c r="A2" s="64" t="inlineStr">
        <is>
          <t>NGUYÊN TẮC OVERLOAD CHO NGƯỜI 50.3KG: 12-14 sets/buổi để tối đa hóa phục hồi. Thêm reps trước (8-&gt;10-&gt;12 reps). Khi chạm 12 reps sạch form, tăng 1.0 - 2.5kg tạ.</t>
        </is>
      </c>
    </row>
    <row r="3" ht="26" customHeight="1">
      <c r="A3" s="36" t="inlineStr">
        <is>
          <t>Tuần</t>
        </is>
      </c>
      <c r="B3" s="36" t="inlineStr">
        <is>
          <t>Thứ</t>
        </is>
      </c>
      <c r="C3" s="36" t="inlineStr">
        <is>
          <t>Tên Buổi Tập</t>
        </is>
      </c>
      <c r="D3" s="36" t="inlineStr">
        <is>
          <t>Nhóm Cơ Trọng Tâm</t>
        </is>
      </c>
      <c r="E3" s="36" t="inlineStr">
        <is>
          <t>Tên Bài Tập</t>
        </is>
      </c>
      <c r="F3" s="36" t="inlineStr">
        <is>
          <t>Thứ Tự</t>
        </is>
      </c>
      <c r="G3" s="36" t="inlineStr">
        <is>
          <t>Số Sets</t>
        </is>
      </c>
      <c r="H3" s="36" t="inlineStr">
        <is>
          <t>Reps Mục Tiêu</t>
        </is>
      </c>
      <c r="I3" s="36" t="inlineStr">
        <is>
          <t>Target RIR</t>
        </is>
      </c>
      <c r="J3" s="36" t="inlineStr">
        <is>
          <t>Nghỉ Giữa Set</t>
        </is>
      </c>
      <c r="K3" s="36" t="inlineStr">
        <is>
          <t>Mức Tạ Dự Kiến</t>
        </is>
      </c>
      <c r="L3" s="36" t="inlineStr">
        <is>
          <t>Điểm Kỹ Thuật Quan Trọng</t>
        </is>
      </c>
      <c r="M3" s="36" t="inlineStr">
        <is>
          <t>Phương Án Thay Thế</t>
        </is>
      </c>
      <c r="N3" s="36" t="inlineStr">
        <is>
          <t>Trạng Thái</t>
        </is>
      </c>
    </row>
    <row r="4" ht="22" customHeight="1">
      <c r="A4" s="24" t="n">
        <v>1</v>
      </c>
      <c r="B4" s="24" t="inlineStr">
        <is>
          <t>Thứ Hai</t>
        </is>
      </c>
      <c r="C4" s="24" t="inlineStr">
        <is>
          <t>Upper A</t>
        </is>
      </c>
      <c r="D4" s="24" t="inlineStr">
        <is>
          <t>Ngực &amp; Lưng Xô</t>
        </is>
      </c>
      <c r="E4" s="37" t="inlineStr">
        <is>
          <t>Incline Dumbbell Bench Press</t>
        </is>
      </c>
      <c r="F4" s="24" t="n">
        <v>1</v>
      </c>
      <c r="G4" s="24" t="n">
        <v>3</v>
      </c>
      <c r="H4" s="24" t="inlineStr">
        <is>
          <t>8 - 10 reps</t>
        </is>
      </c>
      <c r="I4" s="24" t="inlineStr">
        <is>
          <t>RIR 2</t>
        </is>
      </c>
      <c r="J4" s="24" t="inlineStr">
        <is>
          <t>2.0 phút</t>
        </is>
      </c>
      <c r="K4" s="24" t="inlineStr">
        <is>
          <t>6 - 10 kg/bên</t>
        </is>
      </c>
      <c r="L4" s="38" t="inlineStr">
        <is>
          <t>Hạ tạ chậm 3 giây, ép ngực trên</t>
        </is>
      </c>
      <c r="M4" s="38" t="inlineStr">
        <is>
          <t>Machine Chest Press</t>
        </is>
      </c>
      <c r="N4" s="24" t="inlineStr">
        <is>
          <t>Kế hoạch</t>
        </is>
      </c>
    </row>
    <row r="5" ht="22" customHeight="1">
      <c r="A5" s="41" t="n">
        <v>1</v>
      </c>
      <c r="B5" s="41" t="inlineStr">
        <is>
          <t>Thứ Hai</t>
        </is>
      </c>
      <c r="C5" s="41" t="inlineStr">
        <is>
          <t>Upper A</t>
        </is>
      </c>
      <c r="D5" s="41" t="inlineStr">
        <is>
          <t>Ngực &amp; Lưng Xô</t>
        </is>
      </c>
      <c r="E5" s="42" t="inlineStr">
        <is>
          <t>Lat Pulldown (Kéo xô máy)</t>
        </is>
      </c>
      <c r="F5" s="41" t="n">
        <v>2</v>
      </c>
      <c r="G5" s="41" t="n">
        <v>3</v>
      </c>
      <c r="H5" s="41" t="inlineStr">
        <is>
          <t>8 - 10 reps</t>
        </is>
      </c>
      <c r="I5" s="41" t="inlineStr">
        <is>
          <t>RIR 2</t>
        </is>
      </c>
      <c r="J5" s="41" t="inlineStr">
        <is>
          <t>2.0 phút</t>
        </is>
      </c>
      <c r="K5" s="41" t="inlineStr">
        <is>
          <t>25 - 35 kg</t>
        </is>
      </c>
      <c r="L5" s="43" t="inlineStr">
        <is>
          <t>Kéo xô chạm xương đòn, giữ 1s</t>
        </is>
      </c>
      <c r="M5" s="43" t="inlineStr">
        <is>
          <t>Seated Cable Row</t>
        </is>
      </c>
      <c r="N5" s="41" t="inlineStr">
        <is>
          <t>Kế hoạch</t>
        </is>
      </c>
    </row>
    <row r="6" ht="22" customHeight="1">
      <c r="A6" s="24" t="n">
        <v>1</v>
      </c>
      <c r="B6" s="24" t="inlineStr">
        <is>
          <t>Thứ Hai</t>
        </is>
      </c>
      <c r="C6" s="24" t="inlineStr">
        <is>
          <t>Upper A</t>
        </is>
      </c>
      <c r="D6" s="24" t="inlineStr">
        <is>
          <t>Ngực &amp; Lưng Xô</t>
        </is>
      </c>
      <c r="E6" s="37" t="inlineStr">
        <is>
          <t>Machine Chest Press</t>
        </is>
      </c>
      <c r="F6" s="24" t="n">
        <v>3</v>
      </c>
      <c r="G6" s="24" t="n">
        <v>3</v>
      </c>
      <c r="H6" s="24" t="inlineStr">
        <is>
          <t>10 - 12 reps</t>
        </is>
      </c>
      <c r="I6" s="24" t="inlineStr">
        <is>
          <t>RIR 1-2</t>
        </is>
      </c>
      <c r="J6" s="24" t="inlineStr">
        <is>
          <t>90 giây</t>
        </is>
      </c>
      <c r="K6" s="24" t="inlineStr">
        <is>
          <t>20 - 30 kg</t>
        </is>
      </c>
      <c r="L6" s="38" t="inlineStr">
        <is>
          <t>Đẩy hết biên độ, không khóa khuỷu</t>
        </is>
      </c>
      <c r="M6" s="38" t="inlineStr">
        <is>
          <t>Push-up</t>
        </is>
      </c>
      <c r="N6" s="24" t="inlineStr">
        <is>
          <t>Kế hoạch</t>
        </is>
      </c>
    </row>
    <row r="7" ht="22" customHeight="1">
      <c r="A7" s="41" t="n">
        <v>1</v>
      </c>
      <c r="B7" s="41" t="inlineStr">
        <is>
          <t>Thứ Hai</t>
        </is>
      </c>
      <c r="C7" s="41" t="inlineStr">
        <is>
          <t>Upper A</t>
        </is>
      </c>
      <c r="D7" s="41" t="inlineStr">
        <is>
          <t>Ngực &amp; Lưng Xô</t>
        </is>
      </c>
      <c r="E7" s="42" t="inlineStr">
        <is>
          <t>Dumbbell Lateral Raise</t>
        </is>
      </c>
      <c r="F7" s="41" t="n">
        <v>4</v>
      </c>
      <c r="G7" s="41" t="n">
        <v>3</v>
      </c>
      <c r="H7" s="41" t="inlineStr">
        <is>
          <t>12 - 15 reps</t>
        </is>
      </c>
      <c r="I7" s="41" t="inlineStr">
        <is>
          <t>RIR 1</t>
        </is>
      </c>
      <c r="J7" s="41" t="inlineStr">
        <is>
          <t>60 giây</t>
        </is>
      </c>
      <c r="K7" s="41" t="inlineStr">
        <is>
          <t>2 - 4 kg/bên</t>
        </is>
      </c>
      <c r="L7" s="43" t="inlineStr">
        <is>
          <t>Nâng tạ ngang vai, không nhún người</t>
        </is>
      </c>
      <c r="M7" s="43" t="inlineStr">
        <is>
          <t>Cable Lateral Raise</t>
        </is>
      </c>
      <c r="N7" s="41" t="inlineStr">
        <is>
          <t>Kế hoạch</t>
        </is>
      </c>
    </row>
    <row r="8" ht="22" customHeight="1">
      <c r="A8" s="24" t="n">
        <v>1</v>
      </c>
      <c r="B8" s="24" t="inlineStr">
        <is>
          <t>Thứ Hai</t>
        </is>
      </c>
      <c r="C8" s="24" t="inlineStr">
        <is>
          <t>Upper A</t>
        </is>
      </c>
      <c r="D8" s="24" t="inlineStr">
        <is>
          <t>Ngực &amp; Lưng Xô</t>
        </is>
      </c>
      <c r="E8" s="37" t="inlineStr">
        <is>
          <t>Tricep Cable Rope Pushdown</t>
        </is>
      </c>
      <c r="F8" s="24" t="n">
        <v>5</v>
      </c>
      <c r="G8" s="24" t="n">
        <v>3</v>
      </c>
      <c r="H8" s="24" t="inlineStr">
        <is>
          <t>10 - 12 reps</t>
        </is>
      </c>
      <c r="I8" s="24" t="inlineStr">
        <is>
          <t>RIR 1</t>
        </is>
      </c>
      <c r="J8" s="24" t="inlineStr">
        <is>
          <t>60 giây</t>
        </is>
      </c>
      <c r="K8" s="24" t="inlineStr">
        <is>
          <t>12 - 18 kg</t>
        </is>
      </c>
      <c r="L8" s="38" t="inlineStr">
        <is>
          <t>Khóa khuỷu tay sát sườn, siết bắp tay sau</t>
        </is>
      </c>
      <c r="M8" s="38" t="inlineStr">
        <is>
          <t>Overhead DB Extension</t>
        </is>
      </c>
      <c r="N8" s="24" t="inlineStr">
        <is>
          <t>Kế hoạch</t>
        </is>
      </c>
    </row>
    <row r="9" ht="22" customHeight="1">
      <c r="A9" s="41" t="n">
        <v>1</v>
      </c>
      <c r="B9" s="41" t="inlineStr">
        <is>
          <t>Thứ Ba</t>
        </is>
      </c>
      <c r="C9" s="41" t="inlineStr">
        <is>
          <t>Lower A</t>
        </is>
      </c>
      <c r="D9" s="41" t="inlineStr">
        <is>
          <t>Đùi Trước &amp; Đùi Sau</t>
        </is>
      </c>
      <c r="E9" s="42" t="inlineStr">
        <is>
          <t>Goblet Squat (Squat ôm tạ)</t>
        </is>
      </c>
      <c r="F9" s="41" t="n">
        <v>1</v>
      </c>
      <c r="G9" s="41" t="n">
        <v>3</v>
      </c>
      <c r="H9" s="41" t="inlineStr">
        <is>
          <t>8 - 10 reps</t>
        </is>
      </c>
      <c r="I9" s="41" t="inlineStr">
        <is>
          <t>RIR 2</t>
        </is>
      </c>
      <c r="J9" s="41" t="inlineStr">
        <is>
          <t>2.0 phút</t>
        </is>
      </c>
      <c r="K9" s="41" t="inlineStr">
        <is>
          <t>8 - 14 kg</t>
        </is>
      </c>
      <c r="L9" s="43" t="inlineStr">
        <is>
          <t>Ôm tạ trước ngực, ngồi xổm thẳng lưng</t>
        </is>
      </c>
      <c r="M9" s="43" t="inlineStr">
        <is>
          <t>Leg Press</t>
        </is>
      </c>
      <c r="N9" s="41" t="inlineStr">
        <is>
          <t>Kế hoạch</t>
        </is>
      </c>
    </row>
    <row r="10" ht="22" customHeight="1">
      <c r="A10" s="24" t="n">
        <v>1</v>
      </c>
      <c r="B10" s="24" t="inlineStr">
        <is>
          <t>Thứ Ba</t>
        </is>
      </c>
      <c r="C10" s="24" t="inlineStr">
        <is>
          <t>Lower A</t>
        </is>
      </c>
      <c r="D10" s="24" t="inlineStr">
        <is>
          <t>Đùi Trước &amp; Đùi Sau</t>
        </is>
      </c>
      <c r="E10" s="37" t="inlineStr">
        <is>
          <t>Dumbbell Romanian Deadlift (RDL)</t>
        </is>
      </c>
      <c r="F10" s="24" t="n">
        <v>2</v>
      </c>
      <c r="G10" s="24" t="n">
        <v>3</v>
      </c>
      <c r="H10" s="24" t="inlineStr">
        <is>
          <t>8 - 10 reps</t>
        </is>
      </c>
      <c r="I10" s="24" t="inlineStr">
        <is>
          <t>RIR 2</t>
        </is>
      </c>
      <c r="J10" s="24" t="inlineStr">
        <is>
          <t>2.0 phút</t>
        </is>
      </c>
      <c r="K10" s="24" t="inlineStr">
        <is>
          <t>8 - 12 kg/bên</t>
        </is>
      </c>
      <c r="L10" s="38" t="inlineStr">
        <is>
          <t>Đẩy mông về sau, giữ lưng thẳng tuyệt đối</t>
        </is>
      </c>
      <c r="M10" s="38" t="inlineStr">
        <is>
          <t>Seated Leg Curl</t>
        </is>
      </c>
      <c r="N10" s="24" t="inlineStr">
        <is>
          <t>Kế hoạch</t>
        </is>
      </c>
    </row>
    <row r="11" ht="22" customHeight="1">
      <c r="A11" s="41" t="n">
        <v>1</v>
      </c>
      <c r="B11" s="41" t="inlineStr">
        <is>
          <t>Thứ Ba</t>
        </is>
      </c>
      <c r="C11" s="41" t="inlineStr">
        <is>
          <t>Lower A</t>
        </is>
      </c>
      <c r="D11" s="41" t="inlineStr">
        <is>
          <t>Đùi Trước &amp; Đùi Sau</t>
        </is>
      </c>
      <c r="E11" s="42" t="inlineStr">
        <is>
          <t>Leg Press (Máy đạp đùi)</t>
        </is>
      </c>
      <c r="F11" s="41" t="n">
        <v>3</v>
      </c>
      <c r="G11" s="41" t="n">
        <v>3</v>
      </c>
      <c r="H11" s="41" t="inlineStr">
        <is>
          <t>10 - 12 reps</t>
        </is>
      </c>
      <c r="I11" s="41" t="inlineStr">
        <is>
          <t>RIR 2</t>
        </is>
      </c>
      <c r="J11" s="41" t="inlineStr">
        <is>
          <t>2.0 phút</t>
        </is>
      </c>
      <c r="K11" s="41" t="inlineStr">
        <is>
          <t>40 - 60 kg</t>
        </is>
      </c>
      <c r="L11" s="43" t="inlineStr">
        <is>
          <t>Hạ đùi sâu 90 độ, KHÔNG khóa khớp gối</t>
        </is>
      </c>
      <c r="M11" s="43" t="inlineStr">
        <is>
          <t>Goblet Squat</t>
        </is>
      </c>
      <c r="N11" s="41" t="inlineStr">
        <is>
          <t>Kế hoạch</t>
        </is>
      </c>
    </row>
    <row r="12" ht="22" customHeight="1">
      <c r="A12" s="24" t="n">
        <v>1</v>
      </c>
      <c r="B12" s="24" t="inlineStr">
        <is>
          <t>Thứ Ba</t>
        </is>
      </c>
      <c r="C12" s="24" t="inlineStr">
        <is>
          <t>Lower A</t>
        </is>
      </c>
      <c r="D12" s="24" t="inlineStr">
        <is>
          <t>Đùi Trước &amp; Đùi Sau</t>
        </is>
      </c>
      <c r="E12" s="37" t="inlineStr">
        <is>
          <t>Seated Leg Curl (Máy cuộn đùi ngồi)</t>
        </is>
      </c>
      <c r="F12" s="24" t="n">
        <v>4</v>
      </c>
      <c r="G12" s="24" t="n">
        <v>3</v>
      </c>
      <c r="H12" s="24" t="inlineStr">
        <is>
          <t>10 - 12 reps</t>
        </is>
      </c>
      <c r="I12" s="24" t="inlineStr">
        <is>
          <t>RIR 1</t>
        </is>
      </c>
      <c r="J12" s="24" t="inlineStr">
        <is>
          <t>90 giây</t>
        </is>
      </c>
      <c r="K12" s="24" t="inlineStr">
        <is>
          <t>20 - 30 kg</t>
        </is>
      </c>
      <c r="L12" s="38" t="inlineStr">
        <is>
          <t>Cuộn đùi sau dứt khoát, nhả chậm 3s</t>
        </is>
      </c>
      <c r="M12" s="38" t="inlineStr">
        <is>
          <t>Lying Leg Curl</t>
        </is>
      </c>
      <c r="N12" s="24" t="inlineStr">
        <is>
          <t>Kế hoạch</t>
        </is>
      </c>
    </row>
    <row r="13" ht="22" customHeight="1">
      <c r="A13" s="41" t="n">
        <v>1</v>
      </c>
      <c r="B13" s="41" t="inlineStr">
        <is>
          <t>Thứ Ba</t>
        </is>
      </c>
      <c r="C13" s="41" t="inlineStr">
        <is>
          <t>Lower A</t>
        </is>
      </c>
      <c r="D13" s="41" t="inlineStr">
        <is>
          <t>Đùi Trước &amp; Đùi Sau</t>
        </is>
      </c>
      <c r="E13" s="42" t="inlineStr">
        <is>
          <t>Plank</t>
        </is>
      </c>
      <c r="F13" s="41" t="n">
        <v>5</v>
      </c>
      <c r="G13" s="41" t="n">
        <v>3</v>
      </c>
      <c r="H13" s="41" t="inlineStr">
        <is>
          <t>30 - 45 giây</t>
        </is>
      </c>
      <c r="I13" s="41" t="inlineStr">
        <is>
          <t>RIR 1</t>
        </is>
      </c>
      <c r="J13" s="41" t="inlineStr">
        <is>
          <t>60 giây</t>
        </is>
      </c>
      <c r="K13" s="41" t="inlineStr">
        <is>
          <t>Bodyweight</t>
        </is>
      </c>
      <c r="L13" s="43" t="inlineStr">
        <is>
          <t>Siết bụng mông đùi thành 1 đường thẳng</t>
        </is>
      </c>
      <c r="M13" s="43" t="inlineStr">
        <is>
          <t>Hanging Knee Raise</t>
        </is>
      </c>
      <c r="N13" s="41" t="inlineStr">
        <is>
          <t>Kế hoạch</t>
        </is>
      </c>
    </row>
    <row r="14" ht="22" customHeight="1">
      <c r="A14" s="24" t="n">
        <v>1</v>
      </c>
      <c r="B14" s="24" t="inlineStr">
        <is>
          <t>Thứ Năm</t>
        </is>
      </c>
      <c r="C14" s="24" t="inlineStr">
        <is>
          <t>Upper B</t>
        </is>
      </c>
      <c r="D14" s="24" t="inlineStr">
        <is>
          <t>Lưng Xô &amp; Ngực/Vai</t>
        </is>
      </c>
      <c r="E14" s="37" t="inlineStr">
        <is>
          <t>Chest-Supported Dumbbell Row</t>
        </is>
      </c>
      <c r="F14" s="24" t="n">
        <v>1</v>
      </c>
      <c r="G14" s="24" t="n">
        <v>3</v>
      </c>
      <c r="H14" s="24" t="inlineStr">
        <is>
          <t>8 - 10 reps</t>
        </is>
      </c>
      <c r="I14" s="24" t="inlineStr">
        <is>
          <t>RIR 2</t>
        </is>
      </c>
      <c r="J14" s="24" t="inlineStr">
        <is>
          <t>2.0 phút</t>
        </is>
      </c>
      <c r="K14" s="24" t="inlineStr">
        <is>
          <t>6 - 10 kg/bên</t>
        </is>
      </c>
      <c r="L14" s="38" t="inlineStr">
        <is>
          <t>Tựa ngực trên ghế dốc, kéo tạ ép lưng</t>
        </is>
      </c>
      <c r="M14" s="38" t="inlineStr">
        <is>
          <t>Seated Cable Row</t>
        </is>
      </c>
      <c r="N14" s="24" t="inlineStr">
        <is>
          <t>Kế hoạch</t>
        </is>
      </c>
    </row>
    <row r="15" ht="22" customHeight="1">
      <c r="A15" s="41" t="n">
        <v>1</v>
      </c>
      <c r="B15" s="41" t="inlineStr">
        <is>
          <t>Thứ Năm</t>
        </is>
      </c>
      <c r="C15" s="41" t="inlineStr">
        <is>
          <t>Upper B</t>
        </is>
      </c>
      <c r="D15" s="41" t="inlineStr">
        <is>
          <t>Lưng Xô &amp; Ngực/Vai</t>
        </is>
      </c>
      <c r="E15" s="42" t="inlineStr">
        <is>
          <t>Flat Dumbbell Bench Press</t>
        </is>
      </c>
      <c r="F15" s="41" t="n">
        <v>2</v>
      </c>
      <c r="G15" s="41" t="n">
        <v>3</v>
      </c>
      <c r="H15" s="41" t="inlineStr">
        <is>
          <t>8 - 10 reps</t>
        </is>
      </c>
      <c r="I15" s="41" t="inlineStr">
        <is>
          <t>RIR 2</t>
        </is>
      </c>
      <c r="J15" s="41" t="inlineStr">
        <is>
          <t>2.0 phút</t>
        </is>
      </c>
      <c r="K15" s="41" t="inlineStr">
        <is>
          <t>8 - 12 kg/bên</t>
        </is>
      </c>
      <c r="L15" s="43" t="inlineStr">
        <is>
          <t>Kéo căng ngực dưới, đẩy lên dứt khoát</t>
        </is>
      </c>
      <c r="M15" s="43" t="inlineStr">
        <is>
          <t>Incline DB Press</t>
        </is>
      </c>
      <c r="N15" s="41" t="inlineStr">
        <is>
          <t>Kế hoạch</t>
        </is>
      </c>
    </row>
    <row r="16" ht="22" customHeight="1">
      <c r="A16" s="24" t="n">
        <v>1</v>
      </c>
      <c r="B16" s="24" t="inlineStr">
        <is>
          <t>Thứ Năm</t>
        </is>
      </c>
      <c r="C16" s="24" t="inlineStr">
        <is>
          <t>Upper B</t>
        </is>
      </c>
      <c r="D16" s="24" t="inlineStr">
        <is>
          <t>Lưng Xô &amp; Ngực/Vai</t>
        </is>
      </c>
      <c r="E16" s="37" t="inlineStr">
        <is>
          <t>Seated Cable Row (Kéo cáp ngồi)</t>
        </is>
      </c>
      <c r="F16" s="24" t="n">
        <v>3</v>
      </c>
      <c r="G16" s="24" t="n">
        <v>3</v>
      </c>
      <c r="H16" s="24" t="inlineStr">
        <is>
          <t>10 - 12 reps</t>
        </is>
      </c>
      <c r="I16" s="24" t="inlineStr">
        <is>
          <t>RIR 1-2</t>
        </is>
      </c>
      <c r="J16" s="24" t="inlineStr">
        <is>
          <t>90 giây</t>
        </is>
      </c>
      <c r="K16" s="24" t="inlineStr">
        <is>
          <t>25 - 35 kg</t>
        </is>
      </c>
      <c r="L16" s="38" t="inlineStr">
        <is>
          <t>Kéo về rốn, ép bả vai 1 giây</t>
        </is>
      </c>
      <c r="M16" s="38" t="inlineStr">
        <is>
          <t>Lat Pulldown</t>
        </is>
      </c>
      <c r="N16" s="24" t="inlineStr">
        <is>
          <t>Kế hoạch</t>
        </is>
      </c>
    </row>
    <row r="17" ht="22" customHeight="1">
      <c r="A17" s="41" t="n">
        <v>1</v>
      </c>
      <c r="B17" s="41" t="inlineStr">
        <is>
          <t>Thứ Năm</t>
        </is>
      </c>
      <c r="C17" s="41" t="inlineStr">
        <is>
          <t>Upper B</t>
        </is>
      </c>
      <c r="D17" s="41" t="inlineStr">
        <is>
          <t>Lưng Xô &amp; Ngực/Vai</t>
        </is>
      </c>
      <c r="E17" s="42" t="inlineStr">
        <is>
          <t>Seated Dumbbell Shoulder Press</t>
        </is>
      </c>
      <c r="F17" s="41" t="n">
        <v>4</v>
      </c>
      <c r="G17" s="41" t="n">
        <v>3</v>
      </c>
      <c r="H17" s="41" t="inlineStr">
        <is>
          <t>8 - 10 reps</t>
        </is>
      </c>
      <c r="I17" s="41" t="inlineStr">
        <is>
          <t>RIR 2</t>
        </is>
      </c>
      <c r="J17" s="41" t="inlineStr">
        <is>
          <t>2.0 phút</t>
        </is>
      </c>
      <c r="K17" s="41" t="inlineStr">
        <is>
          <t>6 - 10 kg/bên</t>
        </is>
      </c>
      <c r="L17" s="43" t="inlineStr">
        <is>
          <t>Đẩy tạ qua đầu thẳng hàng với tai</t>
        </is>
      </c>
      <c r="M17" s="43" t="inlineStr">
        <is>
          <t>Machine Shoulder Press</t>
        </is>
      </c>
      <c r="N17" s="41" t="inlineStr">
        <is>
          <t>Kế hoạch</t>
        </is>
      </c>
    </row>
    <row r="18" ht="22" customHeight="1">
      <c r="A18" s="24" t="n">
        <v>1</v>
      </c>
      <c r="B18" s="24" t="inlineStr">
        <is>
          <t>Thứ Năm</t>
        </is>
      </c>
      <c r="C18" s="24" t="inlineStr">
        <is>
          <t>Upper B</t>
        </is>
      </c>
      <c r="D18" s="24" t="inlineStr">
        <is>
          <t>Lưng Xô &amp; Ngực/Vai</t>
        </is>
      </c>
      <c r="E18" s="37" t="inlineStr">
        <is>
          <t>Incline Dumbbell Curl</t>
        </is>
      </c>
      <c r="F18" s="24" t="n">
        <v>5</v>
      </c>
      <c r="G18" s="24" t="n">
        <v>3</v>
      </c>
      <c r="H18" s="24" t="inlineStr">
        <is>
          <t>10 - 12 reps</t>
        </is>
      </c>
      <c r="I18" s="24" t="inlineStr">
        <is>
          <t>RIR 1</t>
        </is>
      </c>
      <c r="J18" s="24" t="inlineStr">
        <is>
          <t>60 giây</t>
        </is>
      </c>
      <c r="K18" s="24" t="inlineStr">
        <is>
          <t>4 - 6 kg/bên</t>
        </is>
      </c>
      <c r="L18" s="38" t="inlineStr">
        <is>
          <t>Kéo căng bắp tay trước, cuộn lên siết đỉnh</t>
        </is>
      </c>
      <c r="M18" s="38" t="inlineStr">
        <is>
          <t>Hammer Curl</t>
        </is>
      </c>
      <c r="N18" s="24" t="inlineStr">
        <is>
          <t>Kế hoạch</t>
        </is>
      </c>
    </row>
    <row r="19" ht="22" customHeight="1">
      <c r="A19" s="41" t="n">
        <v>1</v>
      </c>
      <c r="B19" s="41" t="inlineStr">
        <is>
          <t>Thứ Sáu</t>
        </is>
      </c>
      <c r="C19" s="41" t="inlineStr">
        <is>
          <t>Lower B</t>
        </is>
      </c>
      <c r="D19" s="41" t="inlineStr">
        <is>
          <t>Toàn Diện Chân &amp; Mông</t>
        </is>
      </c>
      <c r="E19" s="42" t="inlineStr">
        <is>
          <t>Leg Press (Máy đạp đùi)</t>
        </is>
      </c>
      <c r="F19" s="41" t="n">
        <v>1</v>
      </c>
      <c r="G19" s="41" t="n">
        <v>3</v>
      </c>
      <c r="H19" s="41" t="inlineStr">
        <is>
          <t>10 - 12 reps</t>
        </is>
      </c>
      <c r="I19" s="41" t="inlineStr">
        <is>
          <t>RIR 2</t>
        </is>
      </c>
      <c r="J19" s="41" t="inlineStr">
        <is>
          <t>2.0 phút</t>
        </is>
      </c>
      <c r="K19" s="41" t="inlineStr">
        <is>
          <t>50 - 70 kg</t>
        </is>
      </c>
      <c r="L19" s="43" t="inlineStr">
        <is>
          <t>Đạp bằng gót chân, kiểm soát nhịp hạ</t>
        </is>
      </c>
      <c r="M19" s="43" t="inlineStr">
        <is>
          <t>Goblet Squat</t>
        </is>
      </c>
      <c r="N19" s="41" t="inlineStr">
        <is>
          <t>Kế hoạch</t>
        </is>
      </c>
    </row>
    <row r="20" ht="22" customHeight="1">
      <c r="A20" s="24" t="n">
        <v>1</v>
      </c>
      <c r="B20" s="24" t="inlineStr">
        <is>
          <t>Thứ Sáu</t>
        </is>
      </c>
      <c r="C20" s="24" t="inlineStr">
        <is>
          <t>Lower B</t>
        </is>
      </c>
      <c r="D20" s="24" t="inlineStr">
        <is>
          <t>Toàn Diện Chân &amp; Mông</t>
        </is>
      </c>
      <c r="E20" s="37" t="inlineStr">
        <is>
          <t>Dumbbell Lunge</t>
        </is>
      </c>
      <c r="F20" s="24" t="n">
        <v>2</v>
      </c>
      <c r="G20" s="24" t="n">
        <v>3</v>
      </c>
      <c r="H20" s="24" t="inlineStr">
        <is>
          <t>10 reps/chân</t>
        </is>
      </c>
      <c r="I20" s="24" t="inlineStr">
        <is>
          <t>RIR 2</t>
        </is>
      </c>
      <c r="J20" s="24" t="inlineStr">
        <is>
          <t>90 giây</t>
        </is>
      </c>
      <c r="K20" s="24" t="inlineStr">
        <is>
          <t>4 - 8 kg/bên</t>
        </is>
      </c>
      <c r="L20" s="38" t="inlineStr">
        <is>
          <t>Bước chân chắc chắn, thân người thẳng</t>
        </is>
      </c>
      <c r="M20" s="38" t="inlineStr">
        <is>
          <t>Bulgarian Split Squat</t>
        </is>
      </c>
      <c r="N20" s="24" t="inlineStr">
        <is>
          <t>Kế hoạch</t>
        </is>
      </c>
    </row>
    <row r="21" ht="22" customHeight="1">
      <c r="A21" s="41" t="n">
        <v>1</v>
      </c>
      <c r="B21" s="41" t="inlineStr">
        <is>
          <t>Thứ Sáu</t>
        </is>
      </c>
      <c r="C21" s="41" t="inlineStr">
        <is>
          <t>Lower B</t>
        </is>
      </c>
      <c r="D21" s="41" t="inlineStr">
        <is>
          <t>Toàn Diện Chân &amp; Mông</t>
        </is>
      </c>
      <c r="E21" s="42" t="inlineStr">
        <is>
          <t>Leg Extension (Máy đá đùi)</t>
        </is>
      </c>
      <c r="F21" s="41" t="n">
        <v>3</v>
      </c>
      <c r="G21" s="41" t="n">
        <v>3</v>
      </c>
      <c r="H21" s="41" t="inlineStr">
        <is>
          <t>12 - 15 reps</t>
        </is>
      </c>
      <c r="I21" s="41" t="inlineStr">
        <is>
          <t>RIR 1</t>
        </is>
      </c>
      <c r="J21" s="41" t="inlineStr">
        <is>
          <t>90 giây</t>
        </is>
      </c>
      <c r="K21" s="41" t="inlineStr">
        <is>
          <t>20 - 30 kg</t>
        </is>
      </c>
      <c r="L21" s="43" t="inlineStr">
        <is>
          <t>Đá thẳng siết đùi trước 1s, hạ chậm</t>
        </is>
      </c>
      <c r="M21" s="43" t="inlineStr">
        <is>
          <t>Goblet Squat</t>
        </is>
      </c>
      <c r="N21" s="41" t="inlineStr">
        <is>
          <t>Kế hoạch</t>
        </is>
      </c>
    </row>
    <row r="22" ht="22" customHeight="1">
      <c r="A22" s="24" t="n">
        <v>1</v>
      </c>
      <c r="B22" s="24" t="inlineStr">
        <is>
          <t>Thứ Sáu</t>
        </is>
      </c>
      <c r="C22" s="24" t="inlineStr">
        <is>
          <t>Lower B</t>
        </is>
      </c>
      <c r="D22" s="24" t="inlineStr">
        <is>
          <t>Toàn Diện Chân &amp; Mông</t>
        </is>
      </c>
      <c r="E22" s="37" t="inlineStr">
        <is>
          <t>Standing Calf Raise (Nhón bắp chân)</t>
        </is>
      </c>
      <c r="F22" s="24" t="n">
        <v>4</v>
      </c>
      <c r="G22" s="24" t="n">
        <v>3</v>
      </c>
      <c r="H22" s="24" t="inlineStr">
        <is>
          <t>12 - 15 reps</t>
        </is>
      </c>
      <c r="I22" s="24" t="inlineStr">
        <is>
          <t>RIR 1</t>
        </is>
      </c>
      <c r="J22" s="24" t="inlineStr">
        <is>
          <t>60 giây</t>
        </is>
      </c>
      <c r="K22" s="24" t="inlineStr">
        <is>
          <t>Bodyweight / +10kg</t>
        </is>
      </c>
      <c r="L22" s="38" t="inlineStr">
        <is>
          <t>Nhón cao gót chân, giữ đỉnh 1s</t>
        </is>
      </c>
      <c r="M22" s="38" t="inlineStr">
        <is>
          <t>Seated Calf Raise</t>
        </is>
      </c>
      <c r="N22" s="24" t="inlineStr">
        <is>
          <t>Kế hoạch</t>
        </is>
      </c>
    </row>
    <row r="23" ht="22" customHeight="1">
      <c r="A23" s="41" t="n">
        <v>1</v>
      </c>
      <c r="B23" s="41" t="inlineStr">
        <is>
          <t>Thứ Sáu</t>
        </is>
      </c>
      <c r="C23" s="41" t="inlineStr">
        <is>
          <t>Lower B</t>
        </is>
      </c>
      <c r="D23" s="41" t="inlineStr">
        <is>
          <t>Toàn Diện Chân &amp; Mông</t>
        </is>
      </c>
      <c r="E23" s="42" t="inlineStr">
        <is>
          <t>Hanging Knee Raise (Treo xà co gối)</t>
        </is>
      </c>
      <c r="F23" s="41" t="n">
        <v>5</v>
      </c>
      <c r="G23" s="41" t="n">
        <v>3</v>
      </c>
      <c r="H23" s="41" t="inlineStr">
        <is>
          <t>10 - 12 reps</t>
        </is>
      </c>
      <c r="I23" s="41" t="inlineStr">
        <is>
          <t>RIR 1</t>
        </is>
      </c>
      <c r="J23" s="41" t="inlineStr">
        <is>
          <t>60 giây</t>
        </is>
      </c>
      <c r="K23" s="41" t="inlineStr">
        <is>
          <t>Bodyweight</t>
        </is>
      </c>
      <c r="L23" s="43" t="inlineStr">
        <is>
          <t>Cuộn xương chậu lên, không lấy đà</t>
        </is>
      </c>
      <c r="M23" s="43" t="inlineStr">
        <is>
          <t>Plank</t>
        </is>
      </c>
      <c r="N23" s="41" t="inlineStr">
        <is>
          <t>Kế hoạch</t>
        </is>
      </c>
    </row>
  </sheetData>
  <mergeCells count="2">
    <mergeCell ref="A2:N2"/>
    <mergeCell ref="A1:N1"/>
  </mergeCells>
  <dataValidations count="2">
    <dataValidation sqref="I4:I153 N4:N30" showDropDown="0" showInputMessage="0" showErrorMessage="0" allowBlank="1" type="list">
      <formula1>='14_SETTINGS_VALIDATION'!$G$4:$G$8</formula1>
    </dataValidation>
    <dataValidation sqref="G4:G153 I4:I30" showDropDown="0" showInputMessage="0" showErrorMessage="0" allowBlank="1" type="list">
      <formula1>='14_SETTINGS_VALIDATION'!$I$4:$I$8</formula1>
    </dataValidation>
  </dataValidations>
  <pageMargins left="0.75" right="0.75" top="1" bottom="1" header="0.5" footer="0.5"/>
</worksheet>
</file>

<file path=xl/worksheets/sheet10.xml><?xml version="1.0" encoding="utf-8"?>
<worksheet xmlns="http://schemas.openxmlformats.org/spreadsheetml/2006/main">
  <sheetPr>
    <tabColor rgb="00EC4899"/>
    <outlinePr summaryBelow="1" summaryRight="1"/>
    <pageSetUpPr/>
  </sheetPr>
  <dimension ref="A1:R300"/>
  <sheetViews>
    <sheetView showGridLines="1"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4" customWidth="1" min="2" max="2"/>
    <col width="28" customWidth="1" min="3" max="3"/>
    <col width="8" customWidth="1" min="4" max="4"/>
    <col width="14" customWidth="1" min="5" max="5"/>
    <col width="12" customWidth="1" min="6" max="6"/>
    <col width="14" customWidth="1" min="7" max="7"/>
    <col width="14" customWidth="1" min="8" max="8"/>
    <col width="14" customWidth="1" min="9" max="9"/>
    <col width="16" customWidth="1" min="10" max="10"/>
    <col width="16" customWidth="1" min="11" max="11"/>
    <col width="28" customWidth="1" min="12" max="12"/>
    <col width="14" customWidth="1" min="14" max="14"/>
    <col width="14" customWidth="1" min="15" max="15"/>
    <col width="18" customWidth="1" min="16" max="16"/>
    <col width="18" customWidth="1" min="17" max="17"/>
    <col width="20" customWidth="1" min="18" max="18"/>
  </cols>
  <sheetData>
    <row r="1" ht="36" customHeight="1">
      <c r="A1" s="1" t="inlineStr">
        <is>
          <t>NHẬT KÝ TẬP LUYỆN THỰC TẾ CHI TIẾT (WORKOUT LOG ENTRIES)</t>
        </is>
      </c>
    </row>
    <row r="2" ht="22" customHeight="1">
      <c r="A2" s="35" t="inlineStr">
        <is>
          <t>Ghi lại từng hiệp tập. Cột K tự động tính Khối lượng Volume = Tạ x Reps. Nếu thấy đau khớp bất thường ở cột J, HÃY DỪNG BÀI TẬP VÀ ĐỔI BÀI THAY THẾ!</t>
        </is>
      </c>
    </row>
    <row r="3" ht="26" customHeight="1">
      <c r="A3" s="36" t="inlineStr">
        <is>
          <t>Ngày Tập</t>
        </is>
      </c>
      <c r="B3" s="36" t="inlineStr">
        <is>
          <t>Buổi Tập</t>
        </is>
      </c>
      <c r="C3" s="36" t="inlineStr">
        <is>
          <t>Tên Bài Tập</t>
        </is>
      </c>
      <c r="D3" s="36" t="inlineStr">
        <is>
          <t>Set #</t>
        </is>
      </c>
      <c r="E3" s="36" t="inlineStr">
        <is>
          <t>Mức Tạ (kg)</t>
        </is>
      </c>
      <c r="F3" s="36" t="inlineStr">
        <is>
          <t>Số Reps</t>
        </is>
      </c>
      <c r="G3" s="36" t="inlineStr">
        <is>
          <t>RIR Ghi Nhận</t>
        </is>
      </c>
      <c r="H3" s="36" t="inlineStr">
        <is>
          <t>Nghỉ (giây)</t>
        </is>
      </c>
      <c r="I3" s="36" t="inlineStr">
        <is>
          <t>Hoàn Thành</t>
        </is>
      </c>
      <c r="J3" s="36" t="inlineStr">
        <is>
          <t>Cảm Giác Đau Khớp</t>
        </is>
      </c>
      <c r="K3" s="36" t="inlineStr">
        <is>
          <t>Volume (kg x reps)</t>
        </is>
      </c>
      <c r="L3" s="36" t="inlineStr">
        <is>
          <t>Ghi Chú Buổi Tập</t>
        </is>
      </c>
      <c r="N3" s="118" t="inlineStr">
        <is>
          <t>Ngày Tập</t>
        </is>
      </c>
      <c r="O3" s="118" t="inlineStr">
        <is>
          <t>Buổi Tập</t>
        </is>
      </c>
      <c r="P3" s="118" t="inlineStr">
        <is>
          <t>Số Sets Hoàn Thành</t>
        </is>
      </c>
      <c r="Q3" s="118" t="inlineStr">
        <is>
          <t>Tổng Volume (kg)</t>
        </is>
      </c>
      <c r="R3" s="118" t="inlineStr">
        <is>
          <t>Trạng Thái Buổi Tập</t>
        </is>
      </c>
    </row>
    <row r="4" ht="22" customHeight="1">
      <c r="A4" s="57" t="n">
        <v>46315</v>
      </c>
      <c r="B4" s="7" t="inlineStr">
        <is>
          <t>Upper A</t>
        </is>
      </c>
      <c r="C4" s="58" t="inlineStr">
        <is>
          <t>Incline Dumbbell Bench Press</t>
        </is>
      </c>
      <c r="D4" s="7" t="n">
        <v>1</v>
      </c>
      <c r="E4" s="65" t="n">
        <v>8</v>
      </c>
      <c r="F4" s="7" t="n">
        <v>10</v>
      </c>
      <c r="G4" s="7" t="inlineStr">
        <is>
          <t>RIR 2</t>
        </is>
      </c>
      <c r="H4" s="7" t="n">
        <v>120</v>
      </c>
      <c r="I4" s="7" t="inlineStr">
        <is>
          <t>Đạt</t>
        </is>
      </c>
      <c r="J4" s="7" t="inlineStr">
        <is>
          <t>Không đau</t>
        </is>
      </c>
      <c r="K4" s="66">
        <f>IF(OR(E4="", F4=""), "", E4*F4)</f>
        <v/>
      </c>
      <c r="L4" s="58" t="inlineStr">
        <is>
          <t>Form chuẩn, kiểm soát tốt</t>
        </is>
      </c>
      <c r="N4" s="108" t="n">
        <v>46314</v>
      </c>
      <c r="O4" s="109" t="inlineStr">
        <is>
          <t>Upper A</t>
        </is>
      </c>
      <c r="P4" s="112">
        <f>COUNTIFS($A$4:$A$1500, N4, $I$4:$I$1500, "Đạt")</f>
        <v/>
      </c>
      <c r="Q4" s="110">
        <f>SUMIFS($K$4:$K$1500, $A$4:$A$1500, N4)</f>
        <v/>
      </c>
      <c r="R4" s="113">
        <f>IF(P4=0, "CHƯA TẬP", IF(P4&gt;=10, "Hoàn thành đầy đủ", "Hoàn thành 1 phần"))</f>
        <v/>
      </c>
    </row>
    <row r="5" ht="22" customHeight="1">
      <c r="A5" s="57" t="n">
        <v>46315</v>
      </c>
      <c r="B5" s="7" t="inlineStr">
        <is>
          <t>Upper A</t>
        </is>
      </c>
      <c r="C5" s="58" t="inlineStr">
        <is>
          <t>Incline Dumbbell Bench Press</t>
        </is>
      </c>
      <c r="D5" s="7" t="n">
        <v>2</v>
      </c>
      <c r="E5" s="65" t="n">
        <v>8</v>
      </c>
      <c r="F5" s="7" t="n">
        <v>10</v>
      </c>
      <c r="G5" s="7" t="inlineStr">
        <is>
          <t>RIR 2</t>
        </is>
      </c>
      <c r="H5" s="7" t="n">
        <v>120</v>
      </c>
      <c r="I5" s="7" t="inlineStr">
        <is>
          <t>Đạt</t>
        </is>
      </c>
      <c r="J5" s="7" t="inlineStr">
        <is>
          <t>Không đau</t>
        </is>
      </c>
      <c r="K5" s="66">
        <f>IF(OR(E5="", F5=""), "", E5*F5)</f>
        <v/>
      </c>
      <c r="L5" s="58" t="inlineStr">
        <is>
          <t>Hạ tạ 3 giây</t>
        </is>
      </c>
      <c r="N5" s="108" t="n">
        <v>46315</v>
      </c>
      <c r="O5" s="109" t="inlineStr">
        <is>
          <t>Lower A</t>
        </is>
      </c>
      <c r="P5" s="112">
        <f>COUNTIFS($A$4:$A$1500, N5, $I$4:$I$1500, "Đạt")</f>
        <v/>
      </c>
      <c r="Q5" s="110">
        <f>SUMIFS($K$4:$K$1500, $A$4:$A$1500, N5)</f>
        <v/>
      </c>
      <c r="R5" s="113">
        <f>IF(P5=0, "CHƯA TẬP", IF(P5&gt;=10, "Hoàn thành đầy đủ", "Hoàn thành 1 phần"))</f>
        <v/>
      </c>
    </row>
    <row r="6" ht="22" customHeight="1">
      <c r="A6" s="57" t="n">
        <v>46315</v>
      </c>
      <c r="B6" s="7" t="inlineStr">
        <is>
          <t>Upper A</t>
        </is>
      </c>
      <c r="C6" s="58" t="inlineStr">
        <is>
          <t>Incline Dumbbell Bench Press</t>
        </is>
      </c>
      <c r="D6" s="7" t="n">
        <v>3</v>
      </c>
      <c r="E6" s="65" t="n">
        <v>8</v>
      </c>
      <c r="F6" s="7" t="n">
        <v>9</v>
      </c>
      <c r="G6" s="7" t="inlineStr">
        <is>
          <t>RIR 1</t>
        </is>
      </c>
      <c r="H6" s="7" t="n">
        <v>120</v>
      </c>
      <c r="I6" s="7" t="inlineStr">
        <is>
          <t>Đạt</t>
        </is>
      </c>
      <c r="J6" s="7" t="inlineStr">
        <is>
          <t>Không đau</t>
        </is>
      </c>
      <c r="K6" s="66">
        <f>IF(OR(E6="", F6=""), "", E6*F6)</f>
        <v/>
      </c>
      <c r="L6" s="58" t="inlineStr">
        <is>
          <t>Rep 9 hơi mỏi, chuẩn form</t>
        </is>
      </c>
      <c r="N6" s="108" t="n">
        <v>46317</v>
      </c>
      <c r="O6" s="109" t="inlineStr">
        <is>
          <t>Upper B</t>
        </is>
      </c>
      <c r="P6" s="112">
        <f>COUNTIFS($A$4:$A$1500, N6, $I$4:$I$1500, "Đạt")</f>
        <v/>
      </c>
      <c r="Q6" s="110">
        <f>SUMIFS($K$4:$K$1500, $A$4:$A$1500, N6)</f>
        <v/>
      </c>
      <c r="R6" s="113">
        <f>IF(P6=0, "CHƯA TẬP", IF(P6&gt;=10, "Hoàn thành đầy đủ", "Hoàn thành 1 phần"))</f>
        <v/>
      </c>
    </row>
    <row r="7" ht="22" customHeight="1">
      <c r="A7" s="57" t="n">
        <v>46315</v>
      </c>
      <c r="B7" s="7" t="inlineStr">
        <is>
          <t>Upper A</t>
        </is>
      </c>
      <c r="C7" s="58" t="inlineStr">
        <is>
          <t>Lat Pulldown (Kéo xô máy)</t>
        </is>
      </c>
      <c r="D7" s="7" t="n">
        <v>1</v>
      </c>
      <c r="E7" s="65" t="n">
        <v>30</v>
      </c>
      <c r="F7" s="7" t="n">
        <v>10</v>
      </c>
      <c r="G7" s="7" t="inlineStr">
        <is>
          <t>RIR 2</t>
        </is>
      </c>
      <c r="H7" s="7" t="n">
        <v>120</v>
      </c>
      <c r="I7" s="7" t="inlineStr">
        <is>
          <t>Đạt</t>
        </is>
      </c>
      <c r="J7" s="7" t="inlineStr">
        <is>
          <t>Không đau</t>
        </is>
      </c>
      <c r="K7" s="66">
        <f>IF(OR(E7="", F7=""), "", E7*F7)</f>
        <v/>
      </c>
      <c r="L7" s="58" t="inlineStr">
        <is>
          <t>Cảm nhận xô rất rõ</t>
        </is>
      </c>
      <c r="N7" s="108" t="n">
        <v>46318</v>
      </c>
      <c r="O7" s="109" t="inlineStr">
        <is>
          <t>Lower B</t>
        </is>
      </c>
      <c r="P7" s="112">
        <f>COUNTIFS($A$4:$A$1500, N7, $I$4:$I$1500, "Đạt")</f>
        <v/>
      </c>
      <c r="Q7" s="110">
        <f>SUMIFS($K$4:$K$1500, $A$4:$A$1500, N7)</f>
        <v/>
      </c>
      <c r="R7" s="113">
        <f>IF(P7=0, "CHƯA TẬP", IF(P7&gt;=10, "Hoàn thành đầy đủ", "Hoàn thành 1 phần"))</f>
        <v/>
      </c>
    </row>
    <row r="8" ht="22" customHeight="1">
      <c r="A8" s="57" t="n">
        <v>46315</v>
      </c>
      <c r="B8" s="7" t="inlineStr">
        <is>
          <t>Upper A</t>
        </is>
      </c>
      <c r="C8" s="58" t="inlineStr">
        <is>
          <t>Lat Pulldown (Kéo xô máy)</t>
        </is>
      </c>
      <c r="D8" s="7" t="n">
        <v>2</v>
      </c>
      <c r="E8" s="65" t="n">
        <v>30</v>
      </c>
      <c r="F8" s="7" t="n">
        <v>10</v>
      </c>
      <c r="G8" s="7" t="inlineStr">
        <is>
          <t>RIR 2</t>
        </is>
      </c>
      <c r="H8" s="7" t="n">
        <v>120</v>
      </c>
      <c r="I8" s="7" t="inlineStr">
        <is>
          <t>Đạt</t>
        </is>
      </c>
      <c r="J8" s="7" t="inlineStr">
        <is>
          <t>Không đau</t>
        </is>
      </c>
      <c r="K8" s="66">
        <f>IF(OR(E8="", F8=""), "", E8*F8)</f>
        <v/>
      </c>
      <c r="L8" s="58" t="inlineStr">
        <is>
          <t>Hạ bả vai tốt</t>
        </is>
      </c>
      <c r="N8" s="108" t="n">
        <v>46321</v>
      </c>
      <c r="O8" s="109" t="inlineStr">
        <is>
          <t>Upper A</t>
        </is>
      </c>
      <c r="P8" s="112">
        <f>COUNTIFS($A$4:$A$1500, N8, $I$4:$I$1500, "Đạt")</f>
        <v/>
      </c>
      <c r="Q8" s="110">
        <f>SUMIFS($K$4:$K$1500, $A$4:$A$1500, N8)</f>
        <v/>
      </c>
      <c r="R8" s="113">
        <f>IF(P8=0, "CHƯA TẬP", IF(P8&gt;=10, "Hoàn thành đầy đủ", "Hoàn thành 1 phần"))</f>
        <v/>
      </c>
    </row>
    <row r="9" ht="22" customHeight="1">
      <c r="A9" s="57" t="n">
        <v>46315</v>
      </c>
      <c r="B9" s="7" t="inlineStr">
        <is>
          <t>Upper A</t>
        </is>
      </c>
      <c r="C9" s="58" t="inlineStr">
        <is>
          <t>Lat Pulldown (Kéo xô máy)</t>
        </is>
      </c>
      <c r="D9" s="7" t="n">
        <v>3</v>
      </c>
      <c r="E9" s="65" t="n">
        <v>30</v>
      </c>
      <c r="F9" s="7" t="n">
        <v>8</v>
      </c>
      <c r="G9" s="7" t="inlineStr">
        <is>
          <t>RIR 1</t>
        </is>
      </c>
      <c r="H9" s="7" t="n">
        <v>120</v>
      </c>
      <c r="I9" s="7" t="inlineStr">
        <is>
          <t>Đạt</t>
        </is>
      </c>
      <c r="J9" s="7" t="inlineStr">
        <is>
          <t>Không đau</t>
        </is>
      </c>
      <c r="K9" s="66">
        <f>IF(OR(E9="", F9=""), "", E9*F9)</f>
        <v/>
      </c>
      <c r="L9" s="58" t="inlineStr">
        <is>
          <t>Đạt chỉ tiêu</t>
        </is>
      </c>
      <c r="N9" s="108" t="n">
        <v>46322</v>
      </c>
      <c r="O9" s="109" t="inlineStr">
        <is>
          <t>Lower A</t>
        </is>
      </c>
      <c r="P9" s="112">
        <f>COUNTIFS($A$4:$A$1500, N9, $I$4:$I$1500, "Đạt")</f>
        <v/>
      </c>
      <c r="Q9" s="110">
        <f>SUMIFS($K$4:$K$1500, $A$4:$A$1500, N9)</f>
        <v/>
      </c>
      <c r="R9" s="113">
        <f>IF(P9=0, "CHƯA TẬP", IF(P9&gt;=10, "Hoàn thành đầy đủ", "Hoàn thành 1 phần"))</f>
        <v/>
      </c>
    </row>
    <row r="10" ht="22" customHeight="1">
      <c r="A10" s="57" t="n">
        <v>46315</v>
      </c>
      <c r="B10" s="7" t="inlineStr">
        <is>
          <t>Upper A</t>
        </is>
      </c>
      <c r="C10" s="58" t="inlineStr">
        <is>
          <t>Machine Chest Press</t>
        </is>
      </c>
      <c r="D10" s="7" t="n">
        <v>1</v>
      </c>
      <c r="E10" s="65" t="n">
        <v>25</v>
      </c>
      <c r="F10" s="7" t="n">
        <v>10</v>
      </c>
      <c r="G10" s="7" t="inlineStr">
        <is>
          <t>RIR 2</t>
        </is>
      </c>
      <c r="H10" s="7" t="n">
        <v>90</v>
      </c>
      <c r="I10" s="7" t="inlineStr">
        <is>
          <t>Đạt</t>
        </is>
      </c>
      <c r="J10" s="7" t="inlineStr">
        <is>
          <t>Không đau</t>
        </is>
      </c>
      <c r="K10" s="66">
        <f>IF(OR(E10="", F10=""), "", E10*F10)</f>
        <v/>
      </c>
      <c r="L10" s="58" t="inlineStr">
        <is>
          <t>Đẩy êm</t>
        </is>
      </c>
      <c r="N10" s="108" t="n">
        <v>46324</v>
      </c>
      <c r="O10" s="109" t="inlineStr">
        <is>
          <t>Upper B</t>
        </is>
      </c>
      <c r="P10" s="112">
        <f>COUNTIFS($A$4:$A$1500, N10, $I$4:$I$1500, "Đạt")</f>
        <v/>
      </c>
      <c r="Q10" s="110">
        <f>SUMIFS($K$4:$K$1500, $A$4:$A$1500, N10)</f>
        <v/>
      </c>
      <c r="R10" s="113">
        <f>IF(P10=0, "CHƯA TẬP", IF(P10&gt;=10, "Hoàn thành đầy đủ", "Hoàn thành 1 phần"))</f>
        <v/>
      </c>
    </row>
    <row r="11" ht="22" customHeight="1">
      <c r="A11" s="57" t="n">
        <v>46315</v>
      </c>
      <c r="B11" s="7" t="inlineStr">
        <is>
          <t>Upper A</t>
        </is>
      </c>
      <c r="C11" s="58" t="inlineStr">
        <is>
          <t>Machine Chest Press</t>
        </is>
      </c>
      <c r="D11" s="7" t="n">
        <v>2</v>
      </c>
      <c r="E11" s="65" t="n">
        <v>25</v>
      </c>
      <c r="F11" s="7" t="n">
        <v>10</v>
      </c>
      <c r="G11" s="7" t="inlineStr">
        <is>
          <t>RIR 2</t>
        </is>
      </c>
      <c r="H11" s="7" t="n">
        <v>90</v>
      </c>
      <c r="I11" s="7" t="inlineStr">
        <is>
          <t>Đạt</t>
        </is>
      </c>
      <c r="J11" s="7" t="inlineStr">
        <is>
          <t>Không đau</t>
        </is>
      </c>
      <c r="K11" s="66">
        <f>IF(OR(E11="", F11=""), "", E11*F11)</f>
        <v/>
      </c>
      <c r="L11" s="58" t="inlineStr">
        <is>
          <t>Giữ nhịp thở</t>
        </is>
      </c>
      <c r="N11" s="108" t="n">
        <v>46325</v>
      </c>
      <c r="O11" s="109" t="inlineStr">
        <is>
          <t>Lower B</t>
        </is>
      </c>
      <c r="P11" s="112">
        <f>COUNTIFS($A$4:$A$1500, N11, $I$4:$I$1500, "Đạt")</f>
        <v/>
      </c>
      <c r="Q11" s="110">
        <f>SUMIFS($K$4:$K$1500, $A$4:$A$1500, N11)</f>
        <v/>
      </c>
      <c r="R11" s="113">
        <f>IF(P11=0, "CHƯA TẬP", IF(P11&gt;=10, "Hoàn thành đầy đủ", "Hoàn thành 1 phần"))</f>
        <v/>
      </c>
    </row>
    <row r="12" ht="22" customHeight="1">
      <c r="A12" s="57" t="n">
        <v>46315</v>
      </c>
      <c r="B12" s="7" t="inlineStr">
        <is>
          <t>Upper A</t>
        </is>
      </c>
      <c r="C12" s="58" t="inlineStr">
        <is>
          <t>Machine Chest Press</t>
        </is>
      </c>
      <c r="D12" s="7" t="n">
        <v>3</v>
      </c>
      <c r="E12" s="65" t="n">
        <v>25</v>
      </c>
      <c r="F12" s="7" t="n">
        <v>10</v>
      </c>
      <c r="G12" s="7" t="inlineStr">
        <is>
          <t>RIR 1</t>
        </is>
      </c>
      <c r="H12" s="7" t="n">
        <v>90</v>
      </c>
      <c r="I12" s="7" t="inlineStr">
        <is>
          <t>Đạt</t>
        </is>
      </c>
      <c r="J12" s="7" t="inlineStr">
        <is>
          <t>Không đau</t>
        </is>
      </c>
      <c r="K12" s="66">
        <f>IF(OR(E12="", F12=""), "", E12*F12)</f>
        <v/>
      </c>
      <c r="L12" s="58" t="inlineStr">
        <is>
          <t>Bơm máu tốt</t>
        </is>
      </c>
      <c r="N12" s="108" t="n">
        <v>46328</v>
      </c>
      <c r="O12" s="109" t="inlineStr">
        <is>
          <t>Upper A</t>
        </is>
      </c>
      <c r="P12" s="112">
        <f>COUNTIFS($A$4:$A$1500, N12, $I$4:$I$1500, "Đạt")</f>
        <v/>
      </c>
      <c r="Q12" s="110">
        <f>SUMIFS($K$4:$K$1500, $A$4:$A$1500, N12)</f>
        <v/>
      </c>
      <c r="R12" s="113">
        <f>IF(P12=0, "CHƯA TẬP", IF(P12&gt;=10, "Hoàn thành đầy đủ", "Hoàn thành 1 phần"))</f>
        <v/>
      </c>
    </row>
    <row r="13" ht="22" customHeight="1">
      <c r="A13" s="57" t="n">
        <v>46315</v>
      </c>
      <c r="B13" s="7" t="inlineStr">
        <is>
          <t>Upper A</t>
        </is>
      </c>
      <c r="C13" s="58" t="inlineStr">
        <is>
          <t>Dumbbell Lateral Raise</t>
        </is>
      </c>
      <c r="D13" s="7" t="n">
        <v>1</v>
      </c>
      <c r="E13" s="65" t="n">
        <v>3</v>
      </c>
      <c r="F13" s="7" t="n">
        <v>15</v>
      </c>
      <c r="G13" s="7" t="inlineStr">
        <is>
          <t>RIR 1</t>
        </is>
      </c>
      <c r="H13" s="7" t="n">
        <v>60</v>
      </c>
      <c r="I13" s="7" t="inlineStr">
        <is>
          <t>Đạt</t>
        </is>
      </c>
      <c r="J13" s="7" t="inlineStr">
        <is>
          <t>Không đau</t>
        </is>
      </c>
      <c r="K13" s="66">
        <f>IF(OR(E13="", F13=""), "", E13*F13)</f>
        <v/>
      </c>
      <c r="L13" s="58" t="inlineStr">
        <is>
          <t>Căng vai ngang</t>
        </is>
      </c>
      <c r="N13" s="108" t="n">
        <v>46329</v>
      </c>
      <c r="O13" s="109" t="inlineStr">
        <is>
          <t>Lower A</t>
        </is>
      </c>
      <c r="P13" s="112">
        <f>COUNTIFS($A$4:$A$1500, N13, $I$4:$I$1500, "Đạt")</f>
        <v/>
      </c>
      <c r="Q13" s="110">
        <f>SUMIFS($K$4:$K$1500, $A$4:$A$1500, N13)</f>
        <v/>
      </c>
      <c r="R13" s="113">
        <f>IF(P13=0, "CHƯA TẬP", IF(P13&gt;=10, "Hoàn thành đầy đủ", "Hoàn thành 1 phần"))</f>
        <v/>
      </c>
    </row>
    <row r="14" ht="22" customHeight="1">
      <c r="A14" s="57" t="n">
        <v>46315</v>
      </c>
      <c r="B14" s="7" t="inlineStr">
        <is>
          <t>Upper A</t>
        </is>
      </c>
      <c r="C14" s="58" t="inlineStr">
        <is>
          <t>Dumbbell Lateral Raise</t>
        </is>
      </c>
      <c r="D14" s="7" t="n">
        <v>2</v>
      </c>
      <c r="E14" s="65" t="n">
        <v>3</v>
      </c>
      <c r="F14" s="7" t="n">
        <v>14</v>
      </c>
      <c r="G14" s="7" t="inlineStr">
        <is>
          <t>RIR 1</t>
        </is>
      </c>
      <c r="H14" s="7" t="n">
        <v>60</v>
      </c>
      <c r="I14" s="7" t="inlineStr">
        <is>
          <t>Đạt</t>
        </is>
      </c>
      <c r="J14" s="7" t="inlineStr">
        <is>
          <t>Không đau</t>
        </is>
      </c>
      <c r="K14" s="66">
        <f>IF(OR(E14="", F14=""), "", E14*F14)</f>
        <v/>
      </c>
      <c r="L14" s="58" t="inlineStr">
        <is>
          <t>Đốt mỏi cơ</t>
        </is>
      </c>
      <c r="N14" s="108" t="n">
        <v>46331</v>
      </c>
      <c r="O14" s="109" t="inlineStr">
        <is>
          <t>Upper B</t>
        </is>
      </c>
      <c r="P14" s="112">
        <f>COUNTIFS($A$4:$A$1500, N14, $I$4:$I$1500, "Đạt")</f>
        <v/>
      </c>
      <c r="Q14" s="110">
        <f>SUMIFS($K$4:$K$1500, $A$4:$A$1500, N14)</f>
        <v/>
      </c>
      <c r="R14" s="113">
        <f>IF(P14=0, "CHƯA TẬP", IF(P14&gt;=10, "Hoàn thành đầy đủ", "Hoàn thành 1 phần"))</f>
        <v/>
      </c>
    </row>
    <row r="15" ht="22" customHeight="1">
      <c r="A15" s="57" t="n">
        <v>46315</v>
      </c>
      <c r="B15" s="7" t="inlineStr">
        <is>
          <t>Upper A</t>
        </is>
      </c>
      <c r="C15" s="58" t="inlineStr">
        <is>
          <t>Tricep Cable Rope Pushdown</t>
        </is>
      </c>
      <c r="D15" s="7" t="n">
        <v>1</v>
      </c>
      <c r="E15" s="65" t="n">
        <v>15</v>
      </c>
      <c r="F15" s="7" t="n">
        <v>12</v>
      </c>
      <c r="G15" s="7" t="inlineStr">
        <is>
          <t>RIR 1</t>
        </is>
      </c>
      <c r="H15" s="7" t="n">
        <v>60</v>
      </c>
      <c r="I15" s="7" t="inlineStr">
        <is>
          <t>Đạt</t>
        </is>
      </c>
      <c r="J15" s="7" t="inlineStr">
        <is>
          <t>Không đau</t>
        </is>
      </c>
      <c r="K15" s="66">
        <f>IF(OR(E15="", F15=""), "", E15*F15)</f>
        <v/>
      </c>
      <c r="L15" s="58" t="inlineStr">
        <is>
          <t>Tách dây cáp ở đáy</t>
        </is>
      </c>
      <c r="N15" s="108" t="n">
        <v>46332</v>
      </c>
      <c r="O15" s="109" t="inlineStr">
        <is>
          <t>Lower B</t>
        </is>
      </c>
      <c r="P15" s="112">
        <f>COUNTIFS($A$4:$A$1500, N15, $I$4:$I$1500, "Đạt")</f>
        <v/>
      </c>
      <c r="Q15" s="110">
        <f>SUMIFS($K$4:$K$1500, $A$4:$A$1500, N15)</f>
        <v/>
      </c>
      <c r="R15" s="113">
        <f>IF(P15=0, "CHƯA TẬP", IF(P15&gt;=10, "Hoàn thành đầy đủ", "Hoàn thành 1 phần"))</f>
        <v/>
      </c>
    </row>
    <row r="16" ht="22" customHeight="1">
      <c r="A16" s="57" t="n"/>
      <c r="B16" s="7" t="n"/>
      <c r="C16" s="58" t="n"/>
      <c r="D16" s="7" t="n"/>
      <c r="E16" s="65" t="n"/>
      <c r="F16" s="7" t="n"/>
      <c r="G16" s="7" t="n"/>
      <c r="H16" s="7" t="n"/>
      <c r="I16" s="7" t="n"/>
      <c r="J16" s="7" t="n"/>
      <c r="K16" s="106">
        <f>IF(OR(E16="", F16=""), "", E16*F16)</f>
        <v/>
      </c>
      <c r="L16" s="58" t="n"/>
      <c r="N16" s="108" t="n">
        <v>46335</v>
      </c>
      <c r="O16" s="109" t="inlineStr">
        <is>
          <t>Upper A</t>
        </is>
      </c>
      <c r="P16" s="112">
        <f>COUNTIFS($A$4:$A$1500, N16, $I$4:$I$1500, "Đạt")</f>
        <v/>
      </c>
      <c r="Q16" s="110">
        <f>SUMIFS($K$4:$K$1500, $A$4:$A$1500, N16)</f>
        <v/>
      </c>
      <c r="R16" s="113">
        <f>IF(P16=0, "CHƯA TẬP", IF(P16&gt;=10, "Hoàn thành đầy đủ", "Hoàn thành 1 phần"))</f>
        <v/>
      </c>
    </row>
    <row r="17" ht="22" customHeight="1">
      <c r="A17" s="57" t="n"/>
      <c r="B17" s="7" t="n"/>
      <c r="C17" s="58" t="n"/>
      <c r="D17" s="7" t="n"/>
      <c r="E17" s="65" t="n"/>
      <c r="F17" s="7" t="n"/>
      <c r="G17" s="7" t="n"/>
      <c r="H17" s="7" t="n"/>
      <c r="I17" s="7" t="n"/>
      <c r="J17" s="7" t="n"/>
      <c r="K17" s="106">
        <f>IF(OR(E17="", F17=""), "", E17*F17)</f>
        <v/>
      </c>
      <c r="L17" s="58" t="n"/>
      <c r="N17" s="108" t="n">
        <v>46336</v>
      </c>
      <c r="O17" s="109" t="inlineStr">
        <is>
          <t>Lower A</t>
        </is>
      </c>
      <c r="P17" s="112">
        <f>COUNTIFS($A$4:$A$1500, N17, $I$4:$I$1500, "Đạt")</f>
        <v/>
      </c>
      <c r="Q17" s="110">
        <f>SUMIFS($K$4:$K$1500, $A$4:$A$1500, N17)</f>
        <v/>
      </c>
      <c r="R17" s="113">
        <f>IF(P17=0, "CHƯA TẬP", IF(P17&gt;=10, "Hoàn thành đầy đủ", "Hoàn thành 1 phần"))</f>
        <v/>
      </c>
    </row>
    <row r="18" ht="22" customHeight="1">
      <c r="A18" s="57" t="n"/>
      <c r="B18" s="7" t="n"/>
      <c r="C18" s="58" t="n"/>
      <c r="D18" s="7" t="n"/>
      <c r="E18" s="65" t="n"/>
      <c r="F18" s="7" t="n"/>
      <c r="G18" s="7" t="n"/>
      <c r="H18" s="7" t="n"/>
      <c r="I18" s="7" t="n"/>
      <c r="J18" s="7" t="n"/>
      <c r="K18" s="106">
        <f>IF(OR(E18="", F18=""), "", E18*F18)</f>
        <v/>
      </c>
      <c r="L18" s="58" t="n"/>
      <c r="N18" s="108" t="n">
        <v>46338</v>
      </c>
      <c r="O18" s="109" t="inlineStr">
        <is>
          <t>Upper B</t>
        </is>
      </c>
      <c r="P18" s="112">
        <f>COUNTIFS($A$4:$A$1500, N18, $I$4:$I$1500, "Đạt")</f>
        <v/>
      </c>
      <c r="Q18" s="110">
        <f>SUMIFS($K$4:$K$1500, $A$4:$A$1500, N18)</f>
        <v/>
      </c>
      <c r="R18" s="113">
        <f>IF(P18=0, "CHƯA TẬP", IF(P18&gt;=10, "Hoàn thành đầy đủ", "Hoàn thành 1 phần"))</f>
        <v/>
      </c>
    </row>
    <row r="19" ht="22" customHeight="1">
      <c r="A19" s="57" t="n"/>
      <c r="B19" s="7" t="n"/>
      <c r="C19" s="58" t="n"/>
      <c r="D19" s="7" t="n"/>
      <c r="E19" s="65" t="n"/>
      <c r="F19" s="7" t="n"/>
      <c r="G19" s="7" t="n"/>
      <c r="H19" s="7" t="n"/>
      <c r="I19" s="7" t="n"/>
      <c r="J19" s="7" t="n"/>
      <c r="K19" s="106">
        <f>IF(OR(E19="", F19=""), "", E19*F19)</f>
        <v/>
      </c>
      <c r="L19" s="58" t="n"/>
      <c r="N19" s="108" t="n">
        <v>46339</v>
      </c>
      <c r="O19" s="109" t="inlineStr">
        <is>
          <t>Lower B</t>
        </is>
      </c>
      <c r="P19" s="112">
        <f>COUNTIFS($A$4:$A$1500, N19, $I$4:$I$1500, "Đạt")</f>
        <v/>
      </c>
      <c r="Q19" s="110">
        <f>SUMIFS($K$4:$K$1500, $A$4:$A$1500, N19)</f>
        <v/>
      </c>
      <c r="R19" s="113">
        <f>IF(P19=0, "CHƯA TẬP", IF(P19&gt;=10, "Hoàn thành đầy đủ", "Hoàn thành 1 phần"))</f>
        <v/>
      </c>
    </row>
    <row r="20" ht="22" customHeight="1">
      <c r="A20" s="57" t="n"/>
      <c r="B20" s="7" t="n"/>
      <c r="C20" s="58" t="n"/>
      <c r="D20" s="7" t="n"/>
      <c r="E20" s="65" t="n"/>
      <c r="F20" s="7" t="n"/>
      <c r="G20" s="7" t="n"/>
      <c r="H20" s="7" t="n"/>
      <c r="I20" s="7" t="n"/>
      <c r="J20" s="7" t="n"/>
      <c r="K20" s="106">
        <f>IF(OR(E20="", F20=""), "", E20*F20)</f>
        <v/>
      </c>
      <c r="L20" s="58" t="n"/>
      <c r="N20" s="108" t="n">
        <v>46342</v>
      </c>
      <c r="O20" s="109" t="inlineStr">
        <is>
          <t>Upper A</t>
        </is>
      </c>
      <c r="P20" s="112">
        <f>COUNTIFS($A$4:$A$1500, N20, $I$4:$I$1500, "Đạt")</f>
        <v/>
      </c>
      <c r="Q20" s="110">
        <f>SUMIFS($K$4:$K$1500, $A$4:$A$1500, N20)</f>
        <v/>
      </c>
      <c r="R20" s="113">
        <f>IF(P20=0, "CHƯA TẬP", IF(P20&gt;=10, "Hoàn thành đầy đủ", "Hoàn thành 1 phần"))</f>
        <v/>
      </c>
    </row>
    <row r="21" ht="22" customHeight="1">
      <c r="A21" s="57" t="n"/>
      <c r="B21" s="7" t="n"/>
      <c r="C21" s="58" t="n"/>
      <c r="D21" s="7" t="n"/>
      <c r="E21" s="65" t="n"/>
      <c r="F21" s="7" t="n"/>
      <c r="G21" s="7" t="n"/>
      <c r="H21" s="7" t="n"/>
      <c r="I21" s="7" t="n"/>
      <c r="J21" s="7" t="n"/>
      <c r="K21" s="106">
        <f>IF(OR(E21="", F21=""), "", E21*F21)</f>
        <v/>
      </c>
      <c r="L21" s="58" t="n"/>
      <c r="N21" s="108" t="n">
        <v>46343</v>
      </c>
      <c r="O21" s="109" t="inlineStr">
        <is>
          <t>Lower A</t>
        </is>
      </c>
      <c r="P21" s="112">
        <f>COUNTIFS($A$4:$A$1500, N21, $I$4:$I$1500, "Đạt")</f>
        <v/>
      </c>
      <c r="Q21" s="110">
        <f>SUMIFS($K$4:$K$1500, $A$4:$A$1500, N21)</f>
        <v/>
      </c>
      <c r="R21" s="113">
        <f>IF(P21=0, "CHƯA TẬP", IF(P21&gt;=10, "Hoàn thành đầy đủ", "Hoàn thành 1 phần"))</f>
        <v/>
      </c>
    </row>
    <row r="22" ht="22" customHeight="1">
      <c r="A22" s="57" t="n"/>
      <c r="B22" s="7" t="n"/>
      <c r="C22" s="58" t="n"/>
      <c r="D22" s="7" t="n"/>
      <c r="E22" s="65" t="n"/>
      <c r="F22" s="7" t="n"/>
      <c r="G22" s="7" t="n"/>
      <c r="H22" s="7" t="n"/>
      <c r="I22" s="7" t="n"/>
      <c r="J22" s="7" t="n"/>
      <c r="K22" s="106">
        <f>IF(OR(E22="", F22=""), "", E22*F22)</f>
        <v/>
      </c>
      <c r="L22" s="58" t="n"/>
      <c r="N22" s="108" t="n">
        <v>46345</v>
      </c>
      <c r="O22" s="109" t="inlineStr">
        <is>
          <t>Upper B</t>
        </is>
      </c>
      <c r="P22" s="112">
        <f>COUNTIFS($A$4:$A$1500, N22, $I$4:$I$1500, "Đạt")</f>
        <v/>
      </c>
      <c r="Q22" s="110">
        <f>SUMIFS($K$4:$K$1500, $A$4:$A$1500, N22)</f>
        <v/>
      </c>
      <c r="R22" s="113">
        <f>IF(P22=0, "CHƯA TẬP", IF(P22&gt;=10, "Hoàn thành đầy đủ", "Hoàn thành 1 phần"))</f>
        <v/>
      </c>
    </row>
    <row r="23" ht="22" customHeight="1">
      <c r="A23" s="57" t="n"/>
      <c r="B23" s="7" t="n"/>
      <c r="C23" s="58" t="n"/>
      <c r="D23" s="7" t="n"/>
      <c r="E23" s="65" t="n"/>
      <c r="F23" s="7" t="n"/>
      <c r="G23" s="7" t="n"/>
      <c r="H23" s="7" t="n"/>
      <c r="I23" s="7" t="n"/>
      <c r="J23" s="7" t="n"/>
      <c r="K23" s="106">
        <f>IF(OR(E23="", F23=""), "", E23*F23)</f>
        <v/>
      </c>
      <c r="L23" s="58" t="n"/>
      <c r="N23" s="108" t="n">
        <v>46346</v>
      </c>
      <c r="O23" s="109" t="inlineStr">
        <is>
          <t>Lower B</t>
        </is>
      </c>
      <c r="P23" s="112">
        <f>COUNTIFS($A$4:$A$1500, N23, $I$4:$I$1500, "Đạt")</f>
        <v/>
      </c>
      <c r="Q23" s="110">
        <f>SUMIFS($K$4:$K$1500, $A$4:$A$1500, N23)</f>
        <v/>
      </c>
      <c r="R23" s="113">
        <f>IF(P23=0, "CHƯA TẬP", IF(P23&gt;=10, "Hoàn thành đầy đủ", "Hoàn thành 1 phần"))</f>
        <v/>
      </c>
    </row>
    <row r="24" ht="22" customHeight="1">
      <c r="A24" s="57" t="n"/>
      <c r="B24" s="7" t="n"/>
      <c r="C24" s="58" t="n"/>
      <c r="D24" s="7" t="n"/>
      <c r="E24" s="65" t="n"/>
      <c r="F24" s="7" t="n"/>
      <c r="G24" s="7" t="n"/>
      <c r="H24" s="7" t="n"/>
      <c r="I24" s="7" t="n"/>
      <c r="J24" s="7" t="n"/>
      <c r="K24" s="106">
        <f>IF(OR(E24="", F24=""), "", E24*F24)</f>
        <v/>
      </c>
      <c r="L24" s="58" t="n"/>
      <c r="N24" s="108" t="n">
        <v>46349</v>
      </c>
      <c r="O24" s="109" t="inlineStr">
        <is>
          <t>Upper A</t>
        </is>
      </c>
      <c r="P24" s="112">
        <f>COUNTIFS($A$4:$A$1500, N24, $I$4:$I$1500, "Đạt")</f>
        <v/>
      </c>
      <c r="Q24" s="110">
        <f>SUMIFS($K$4:$K$1500, $A$4:$A$1500, N24)</f>
        <v/>
      </c>
      <c r="R24" s="113">
        <f>IF(P24=0, "CHƯA TẬP", IF(P24&gt;=10, "Hoàn thành đầy đủ", "Hoàn thành 1 phần"))</f>
        <v/>
      </c>
    </row>
    <row r="25" ht="22" customHeight="1">
      <c r="A25" s="57" t="n"/>
      <c r="B25" s="7" t="n"/>
      <c r="C25" s="58" t="n"/>
      <c r="D25" s="7" t="n"/>
      <c r="E25" s="65" t="n"/>
      <c r="F25" s="7" t="n"/>
      <c r="G25" s="7" t="n"/>
      <c r="H25" s="7" t="n"/>
      <c r="I25" s="7" t="n"/>
      <c r="J25" s="7" t="n"/>
      <c r="K25" s="106">
        <f>IF(OR(E25="", F25=""), "", E25*F25)</f>
        <v/>
      </c>
      <c r="L25" s="58" t="n"/>
      <c r="N25" s="108" t="n">
        <v>46350</v>
      </c>
      <c r="O25" s="109" t="inlineStr">
        <is>
          <t>Lower A</t>
        </is>
      </c>
      <c r="P25" s="112">
        <f>COUNTIFS($A$4:$A$1500, N25, $I$4:$I$1500, "Đạt")</f>
        <v/>
      </c>
      <c r="Q25" s="110">
        <f>SUMIFS($K$4:$K$1500, $A$4:$A$1500, N25)</f>
        <v/>
      </c>
      <c r="R25" s="113">
        <f>IF(P25=0, "CHƯA TẬP", IF(P25&gt;=10, "Hoàn thành đầy đủ", "Hoàn thành 1 phần"))</f>
        <v/>
      </c>
    </row>
    <row r="26" ht="22" customHeight="1">
      <c r="A26" s="57" t="n"/>
      <c r="B26" s="7" t="n"/>
      <c r="C26" s="58" t="n"/>
      <c r="D26" s="7" t="n"/>
      <c r="E26" s="65" t="n"/>
      <c r="F26" s="7" t="n"/>
      <c r="G26" s="7" t="n"/>
      <c r="H26" s="7" t="n"/>
      <c r="I26" s="7" t="n"/>
      <c r="J26" s="7" t="n"/>
      <c r="K26" s="106">
        <f>IF(OR(E26="", F26=""), "", E26*F26)</f>
        <v/>
      </c>
      <c r="L26" s="58" t="n"/>
      <c r="N26" s="108" t="n">
        <v>46352</v>
      </c>
      <c r="O26" s="109" t="inlineStr">
        <is>
          <t>Upper B</t>
        </is>
      </c>
      <c r="P26" s="112">
        <f>COUNTIFS($A$4:$A$1500, N26, $I$4:$I$1500, "Đạt")</f>
        <v/>
      </c>
      <c r="Q26" s="110">
        <f>SUMIFS($K$4:$K$1500, $A$4:$A$1500, N26)</f>
        <v/>
      </c>
      <c r="R26" s="113">
        <f>IF(P26=0, "CHƯA TẬP", IF(P26&gt;=10, "Hoàn thành đầy đủ", "Hoàn thành 1 phần"))</f>
        <v/>
      </c>
    </row>
    <row r="27" ht="22" customHeight="1">
      <c r="A27" s="57" t="n"/>
      <c r="B27" s="7" t="n"/>
      <c r="C27" s="58" t="n"/>
      <c r="D27" s="7" t="n"/>
      <c r="E27" s="65" t="n"/>
      <c r="F27" s="7" t="n"/>
      <c r="G27" s="7" t="n"/>
      <c r="H27" s="7" t="n"/>
      <c r="I27" s="7" t="n"/>
      <c r="J27" s="7" t="n"/>
      <c r="K27" s="106">
        <f>IF(OR(E27="", F27=""), "", E27*F27)</f>
        <v/>
      </c>
      <c r="L27" s="58" t="n"/>
      <c r="N27" s="108" t="n">
        <v>46353</v>
      </c>
      <c r="O27" s="109" t="inlineStr">
        <is>
          <t>Lower B</t>
        </is>
      </c>
      <c r="P27" s="112">
        <f>COUNTIFS($A$4:$A$1500, N27, $I$4:$I$1500, "Đạt")</f>
        <v/>
      </c>
      <c r="Q27" s="110">
        <f>SUMIFS($K$4:$K$1500, $A$4:$A$1500, N27)</f>
        <v/>
      </c>
      <c r="R27" s="113">
        <f>IF(P27=0, "CHƯA TẬP", IF(P27&gt;=10, "Hoàn thành đầy đủ", "Hoàn thành 1 phần"))</f>
        <v/>
      </c>
    </row>
    <row r="28" ht="22" customHeight="1">
      <c r="A28" s="57" t="n"/>
      <c r="B28" s="7" t="n"/>
      <c r="C28" s="58" t="n"/>
      <c r="D28" s="7" t="n"/>
      <c r="E28" s="65" t="n"/>
      <c r="F28" s="7" t="n"/>
      <c r="G28" s="7" t="n"/>
      <c r="H28" s="7" t="n"/>
      <c r="I28" s="7" t="n"/>
      <c r="J28" s="7" t="n"/>
      <c r="K28" s="106">
        <f>IF(OR(E28="", F28=""), "", E28*F28)</f>
        <v/>
      </c>
      <c r="L28" s="58" t="n"/>
      <c r="N28" s="108" t="n">
        <v>46356</v>
      </c>
      <c r="O28" s="109" t="inlineStr">
        <is>
          <t>Upper A</t>
        </is>
      </c>
      <c r="P28" s="112">
        <f>COUNTIFS($A$4:$A$1500, N28, $I$4:$I$1500, "Đạt")</f>
        <v/>
      </c>
      <c r="Q28" s="110">
        <f>SUMIFS($K$4:$K$1500, $A$4:$A$1500, N28)</f>
        <v/>
      </c>
      <c r="R28" s="113">
        <f>IF(P28=0, "CHƯA TẬP", IF(P28&gt;=10, "Hoàn thành đầy đủ", "Hoàn thành 1 phần"))</f>
        <v/>
      </c>
    </row>
    <row r="29" ht="22" customHeight="1">
      <c r="A29" s="57" t="n"/>
      <c r="B29" s="7" t="n"/>
      <c r="C29" s="58" t="n"/>
      <c r="D29" s="7" t="n"/>
      <c r="E29" s="65" t="n"/>
      <c r="F29" s="7" t="n"/>
      <c r="G29" s="7" t="n"/>
      <c r="H29" s="7" t="n"/>
      <c r="I29" s="7" t="n"/>
      <c r="J29" s="7" t="n"/>
      <c r="K29" s="106">
        <f>IF(OR(E29="", F29=""), "", E29*F29)</f>
        <v/>
      </c>
      <c r="L29" s="58" t="n"/>
      <c r="N29" s="108" t="n">
        <v>46357</v>
      </c>
      <c r="O29" s="109" t="inlineStr">
        <is>
          <t>Lower A</t>
        </is>
      </c>
      <c r="P29" s="112">
        <f>COUNTIFS($A$4:$A$1500, N29, $I$4:$I$1500, "Đạt")</f>
        <v/>
      </c>
      <c r="Q29" s="110">
        <f>SUMIFS($K$4:$K$1500, $A$4:$A$1500, N29)</f>
        <v/>
      </c>
      <c r="R29" s="113">
        <f>IF(P29=0, "CHƯA TẬP", IF(P29&gt;=10, "Hoàn thành đầy đủ", "Hoàn thành 1 phần"))</f>
        <v/>
      </c>
    </row>
    <row r="30" ht="22" customHeight="1">
      <c r="A30" s="57" t="n"/>
      <c r="B30" s="7" t="n"/>
      <c r="C30" s="58" t="n"/>
      <c r="D30" s="7" t="n"/>
      <c r="E30" s="65" t="n"/>
      <c r="F30" s="7" t="n"/>
      <c r="G30" s="7" t="n"/>
      <c r="H30" s="7" t="n"/>
      <c r="I30" s="7" t="n"/>
      <c r="J30" s="7" t="n"/>
      <c r="K30" s="106">
        <f>IF(OR(E30="", F30=""), "", E30*F30)</f>
        <v/>
      </c>
      <c r="L30" s="58" t="n"/>
      <c r="N30" s="108" t="n">
        <v>46359</v>
      </c>
      <c r="O30" s="109" t="inlineStr">
        <is>
          <t>Upper B</t>
        </is>
      </c>
      <c r="P30" s="112">
        <f>COUNTIFS($A$4:$A$1500, N30, $I$4:$I$1500, "Đạt")</f>
        <v/>
      </c>
      <c r="Q30" s="110">
        <f>SUMIFS($K$4:$K$1500, $A$4:$A$1500, N30)</f>
        <v/>
      </c>
      <c r="R30" s="113">
        <f>IF(P30=0, "CHƯA TẬP", IF(P30&gt;=10, "Hoàn thành đầy đủ", "Hoàn thành 1 phần"))</f>
        <v/>
      </c>
    </row>
    <row r="31" ht="22" customHeight="1">
      <c r="A31" s="57" t="n"/>
      <c r="B31" s="7" t="n"/>
      <c r="C31" s="58" t="n"/>
      <c r="D31" s="7" t="n"/>
      <c r="E31" s="65" t="n"/>
      <c r="F31" s="7" t="n"/>
      <c r="G31" s="7" t="n"/>
      <c r="H31" s="7" t="n"/>
      <c r="I31" s="7" t="n"/>
      <c r="J31" s="7" t="n"/>
      <c r="K31" s="106">
        <f>IF(OR(E31="", F31=""), "", E31*F31)</f>
        <v/>
      </c>
      <c r="L31" s="58" t="n"/>
      <c r="N31" s="108" t="n">
        <v>46360</v>
      </c>
      <c r="O31" s="109" t="inlineStr">
        <is>
          <t>Lower B</t>
        </is>
      </c>
      <c r="P31" s="112">
        <f>COUNTIFS($A$4:$A$1500, N31, $I$4:$I$1500, "Đạt")</f>
        <v/>
      </c>
      <c r="Q31" s="110">
        <f>SUMIFS($K$4:$K$1500, $A$4:$A$1500, N31)</f>
        <v/>
      </c>
      <c r="R31" s="113">
        <f>IF(P31=0, "CHƯA TẬP", IF(P31&gt;=10, "Hoàn thành đầy đủ", "Hoàn thành 1 phần"))</f>
        <v/>
      </c>
    </row>
    <row r="32" ht="22" customHeight="1">
      <c r="A32" s="57" t="n"/>
      <c r="B32" s="7" t="n"/>
      <c r="C32" s="58" t="n"/>
      <c r="D32" s="7" t="n"/>
      <c r="E32" s="65" t="n"/>
      <c r="F32" s="7" t="n"/>
      <c r="G32" s="7" t="n"/>
      <c r="H32" s="7" t="n"/>
      <c r="I32" s="7" t="n"/>
      <c r="J32" s="7" t="n"/>
      <c r="K32" s="106">
        <f>IF(OR(E32="", F32=""), "", E32*F32)</f>
        <v/>
      </c>
      <c r="L32" s="58" t="n"/>
      <c r="N32" s="108" t="n">
        <v>46363</v>
      </c>
      <c r="O32" s="109" t="inlineStr">
        <is>
          <t>Upper A</t>
        </is>
      </c>
      <c r="P32" s="112">
        <f>COUNTIFS($A$4:$A$1500, N32, $I$4:$I$1500, "Đạt")</f>
        <v/>
      </c>
      <c r="Q32" s="110">
        <f>SUMIFS($K$4:$K$1500, $A$4:$A$1500, N32)</f>
        <v/>
      </c>
      <c r="R32" s="113">
        <f>IF(P32=0, "CHƯA TẬP", IF(P32&gt;=10, "Hoàn thành đầy đủ", "Hoàn thành 1 phần"))</f>
        <v/>
      </c>
    </row>
    <row r="33" ht="22" customHeight="1">
      <c r="A33" s="57" t="n"/>
      <c r="B33" s="7" t="n"/>
      <c r="C33" s="58" t="n"/>
      <c r="D33" s="7" t="n"/>
      <c r="E33" s="65" t="n"/>
      <c r="F33" s="7" t="n"/>
      <c r="G33" s="7" t="n"/>
      <c r="H33" s="7" t="n"/>
      <c r="I33" s="7" t="n"/>
      <c r="J33" s="7" t="n"/>
      <c r="K33" s="106">
        <f>IF(OR(E33="", F33=""), "", E33*F33)</f>
        <v/>
      </c>
      <c r="L33" s="58" t="n"/>
      <c r="N33" s="108" t="n">
        <v>46364</v>
      </c>
      <c r="O33" s="109" t="inlineStr">
        <is>
          <t>Lower A</t>
        </is>
      </c>
      <c r="P33" s="112">
        <f>COUNTIFS($A$4:$A$1500, N33, $I$4:$I$1500, "Đạt")</f>
        <v/>
      </c>
      <c r="Q33" s="110">
        <f>SUMIFS($K$4:$K$1500, $A$4:$A$1500, N33)</f>
        <v/>
      </c>
      <c r="R33" s="113">
        <f>IF(P33=0, "CHƯA TẬP", IF(P33&gt;=10, "Hoàn thành đầy đủ", "Hoàn thành 1 phần"))</f>
        <v/>
      </c>
    </row>
    <row r="34" ht="22" customHeight="1">
      <c r="A34" s="57" t="n"/>
      <c r="B34" s="7" t="n"/>
      <c r="C34" s="58" t="n"/>
      <c r="D34" s="7" t="n"/>
      <c r="E34" s="65" t="n"/>
      <c r="F34" s="7" t="n"/>
      <c r="G34" s="7" t="n"/>
      <c r="H34" s="7" t="n"/>
      <c r="I34" s="7" t="n"/>
      <c r="J34" s="7" t="n"/>
      <c r="K34" s="106">
        <f>IF(OR(E34="", F34=""), "", E34*F34)</f>
        <v/>
      </c>
      <c r="L34" s="58" t="n"/>
      <c r="N34" s="108" t="n">
        <v>46366</v>
      </c>
      <c r="O34" s="109" t="inlineStr">
        <is>
          <t>Upper B</t>
        </is>
      </c>
      <c r="P34" s="112">
        <f>COUNTIFS($A$4:$A$1500, N34, $I$4:$I$1500, "Đạt")</f>
        <v/>
      </c>
      <c r="Q34" s="110">
        <f>SUMIFS($K$4:$K$1500, $A$4:$A$1500, N34)</f>
        <v/>
      </c>
      <c r="R34" s="113">
        <f>IF(P34=0, "CHƯA TẬP", IF(P34&gt;=10, "Hoàn thành đầy đủ", "Hoàn thành 1 phần"))</f>
        <v/>
      </c>
    </row>
    <row r="35" ht="22" customHeight="1">
      <c r="A35" s="57" t="n"/>
      <c r="B35" s="7" t="n"/>
      <c r="C35" s="58" t="n"/>
      <c r="D35" s="7" t="n"/>
      <c r="E35" s="65" t="n"/>
      <c r="F35" s="7" t="n"/>
      <c r="G35" s="7" t="n"/>
      <c r="H35" s="7" t="n"/>
      <c r="I35" s="7" t="n"/>
      <c r="J35" s="7" t="n"/>
      <c r="K35" s="106">
        <f>IF(OR(E35="", F35=""), "", E35*F35)</f>
        <v/>
      </c>
      <c r="L35" s="58" t="n"/>
      <c r="N35" s="108" t="n">
        <v>46367</v>
      </c>
      <c r="O35" s="109" t="inlineStr">
        <is>
          <t>Lower B</t>
        </is>
      </c>
      <c r="P35" s="112">
        <f>COUNTIFS($A$4:$A$1500, N35, $I$4:$I$1500, "Đạt")</f>
        <v/>
      </c>
      <c r="Q35" s="110">
        <f>SUMIFS($K$4:$K$1500, $A$4:$A$1500, N35)</f>
        <v/>
      </c>
      <c r="R35" s="113">
        <f>IF(P35=0, "CHƯA TẬP", IF(P35&gt;=10, "Hoàn thành đầy đủ", "Hoàn thành 1 phần"))</f>
        <v/>
      </c>
    </row>
    <row r="36" ht="22" customHeight="1">
      <c r="A36" s="57" t="n"/>
      <c r="B36" s="7" t="n"/>
      <c r="C36" s="58" t="n"/>
      <c r="D36" s="7" t="n"/>
      <c r="E36" s="65" t="n"/>
      <c r="F36" s="7" t="n"/>
      <c r="G36" s="7" t="n"/>
      <c r="H36" s="7" t="n"/>
      <c r="I36" s="7" t="n"/>
      <c r="J36" s="7" t="n"/>
      <c r="K36" s="106">
        <f>IF(OR(E36="", F36=""), "", E36*F36)</f>
        <v/>
      </c>
      <c r="L36" s="58" t="n"/>
      <c r="N36" s="108" t="n">
        <v>46370</v>
      </c>
      <c r="O36" s="109" t="inlineStr">
        <is>
          <t>Upper A</t>
        </is>
      </c>
      <c r="P36" s="112">
        <f>COUNTIFS($A$4:$A$1500, N36, $I$4:$I$1500, "Đạt")</f>
        <v/>
      </c>
      <c r="Q36" s="110">
        <f>SUMIFS($K$4:$K$1500, $A$4:$A$1500, N36)</f>
        <v/>
      </c>
      <c r="R36" s="113">
        <f>IF(P36=0, "CHƯA TẬP", IF(P36&gt;=10, "Hoàn thành đầy đủ", "Hoàn thành 1 phần"))</f>
        <v/>
      </c>
    </row>
    <row r="37" ht="22" customHeight="1">
      <c r="A37" s="57" t="n"/>
      <c r="B37" s="7" t="n"/>
      <c r="C37" s="58" t="n"/>
      <c r="D37" s="7" t="n"/>
      <c r="E37" s="65" t="n"/>
      <c r="F37" s="7" t="n"/>
      <c r="G37" s="7" t="n"/>
      <c r="H37" s="7" t="n"/>
      <c r="I37" s="7" t="n"/>
      <c r="J37" s="7" t="n"/>
      <c r="K37" s="106">
        <f>IF(OR(E37="", F37=""), "", E37*F37)</f>
        <v/>
      </c>
      <c r="L37" s="58" t="n"/>
      <c r="N37" s="108" t="n">
        <v>46371</v>
      </c>
      <c r="O37" s="109" t="inlineStr">
        <is>
          <t>Lower A</t>
        </is>
      </c>
      <c r="P37" s="112">
        <f>COUNTIFS($A$4:$A$1500, N37, $I$4:$I$1500, "Đạt")</f>
        <v/>
      </c>
      <c r="Q37" s="110">
        <f>SUMIFS($K$4:$K$1500, $A$4:$A$1500, N37)</f>
        <v/>
      </c>
      <c r="R37" s="113">
        <f>IF(P37=0, "CHƯA TẬP", IF(P37&gt;=10, "Hoàn thành đầy đủ", "Hoàn thành 1 phần"))</f>
        <v/>
      </c>
    </row>
    <row r="38" ht="22" customHeight="1">
      <c r="A38" s="57" t="n"/>
      <c r="B38" s="7" t="n"/>
      <c r="C38" s="58" t="n"/>
      <c r="D38" s="7" t="n"/>
      <c r="E38" s="65" t="n"/>
      <c r="F38" s="7" t="n"/>
      <c r="G38" s="7" t="n"/>
      <c r="H38" s="7" t="n"/>
      <c r="I38" s="7" t="n"/>
      <c r="J38" s="7" t="n"/>
      <c r="K38" s="106">
        <f>IF(OR(E38="", F38=""), "", E38*F38)</f>
        <v/>
      </c>
      <c r="L38" s="58" t="n"/>
      <c r="N38" s="108" t="n">
        <v>46373</v>
      </c>
      <c r="O38" s="109" t="inlineStr">
        <is>
          <t>Upper B</t>
        </is>
      </c>
      <c r="P38" s="112">
        <f>COUNTIFS($A$4:$A$1500, N38, $I$4:$I$1500, "Đạt")</f>
        <v/>
      </c>
      <c r="Q38" s="110">
        <f>SUMIFS($K$4:$K$1500, $A$4:$A$1500, N38)</f>
        <v/>
      </c>
      <c r="R38" s="113">
        <f>IF(P38=0, "CHƯA TẬP", IF(P38&gt;=10, "Hoàn thành đầy đủ", "Hoàn thành 1 phần"))</f>
        <v/>
      </c>
    </row>
    <row r="39" ht="22" customHeight="1">
      <c r="A39" s="57" t="n"/>
      <c r="B39" s="7" t="n"/>
      <c r="C39" s="58" t="n"/>
      <c r="D39" s="7" t="n"/>
      <c r="E39" s="65" t="n"/>
      <c r="F39" s="7" t="n"/>
      <c r="G39" s="7" t="n"/>
      <c r="H39" s="7" t="n"/>
      <c r="I39" s="7" t="n"/>
      <c r="J39" s="7" t="n"/>
      <c r="K39" s="106">
        <f>IF(OR(E39="", F39=""), "", E39*F39)</f>
        <v/>
      </c>
      <c r="L39" s="58" t="n"/>
      <c r="N39" s="108" t="n">
        <v>46374</v>
      </c>
      <c r="O39" s="109" t="inlineStr">
        <is>
          <t>Lower B</t>
        </is>
      </c>
      <c r="P39" s="112">
        <f>COUNTIFS($A$4:$A$1500, N39, $I$4:$I$1500, "Đạt")</f>
        <v/>
      </c>
      <c r="Q39" s="110">
        <f>SUMIFS($K$4:$K$1500, $A$4:$A$1500, N39)</f>
        <v/>
      </c>
      <c r="R39" s="113">
        <f>IF(P39=0, "CHƯA TẬP", IF(P39&gt;=10, "Hoàn thành đầy đủ", "Hoàn thành 1 phần"))</f>
        <v/>
      </c>
    </row>
    <row r="40" ht="22" customHeight="1">
      <c r="A40" s="57" t="n"/>
      <c r="B40" s="7" t="n"/>
      <c r="C40" s="58" t="n"/>
      <c r="D40" s="7" t="n"/>
      <c r="E40" s="65" t="n"/>
      <c r="F40" s="7" t="n"/>
      <c r="G40" s="7" t="n"/>
      <c r="H40" s="7" t="n"/>
      <c r="I40" s="7" t="n"/>
      <c r="J40" s="7" t="n"/>
      <c r="K40" s="106">
        <f>IF(OR(E40="", F40=""), "", E40*F40)</f>
        <v/>
      </c>
      <c r="L40" s="58" t="n"/>
      <c r="N40" s="108" t="n">
        <v>46377</v>
      </c>
      <c r="O40" s="109" t="inlineStr">
        <is>
          <t>Upper A</t>
        </is>
      </c>
      <c r="P40" s="112">
        <f>COUNTIFS($A$4:$A$1500, N40, $I$4:$I$1500, "Đạt")</f>
        <v/>
      </c>
      <c r="Q40" s="110">
        <f>SUMIFS($K$4:$K$1500, $A$4:$A$1500, N40)</f>
        <v/>
      </c>
      <c r="R40" s="113">
        <f>IF(P40=0, "CHƯA TẬP", IF(P40&gt;=10, "Hoàn thành đầy đủ", "Hoàn thành 1 phần"))</f>
        <v/>
      </c>
    </row>
    <row r="41" ht="22" customHeight="1">
      <c r="A41" s="57" t="n"/>
      <c r="B41" s="7" t="n"/>
      <c r="C41" s="58" t="n"/>
      <c r="D41" s="7" t="n"/>
      <c r="E41" s="65" t="n"/>
      <c r="F41" s="7" t="n"/>
      <c r="G41" s="7" t="n"/>
      <c r="H41" s="7" t="n"/>
      <c r="I41" s="7" t="n"/>
      <c r="J41" s="7" t="n"/>
      <c r="K41" s="106">
        <f>IF(OR(E41="", F41=""), "", E41*F41)</f>
        <v/>
      </c>
      <c r="L41" s="58" t="n"/>
      <c r="N41" s="108" t="n">
        <v>46378</v>
      </c>
      <c r="O41" s="109" t="inlineStr">
        <is>
          <t>Lower A</t>
        </is>
      </c>
      <c r="P41" s="112">
        <f>COUNTIFS($A$4:$A$1500, N41, $I$4:$I$1500, "Đạt")</f>
        <v/>
      </c>
      <c r="Q41" s="110">
        <f>SUMIFS($K$4:$K$1500, $A$4:$A$1500, N41)</f>
        <v/>
      </c>
      <c r="R41" s="113">
        <f>IF(P41=0, "CHƯA TẬP", IF(P41&gt;=10, "Hoàn thành đầy đủ", "Hoàn thành 1 phần"))</f>
        <v/>
      </c>
    </row>
    <row r="42" ht="22" customHeight="1">
      <c r="A42" s="57" t="n"/>
      <c r="B42" s="7" t="n"/>
      <c r="C42" s="58" t="n"/>
      <c r="D42" s="7" t="n"/>
      <c r="E42" s="65" t="n"/>
      <c r="F42" s="7" t="n"/>
      <c r="G42" s="7" t="n"/>
      <c r="H42" s="7" t="n"/>
      <c r="I42" s="7" t="n"/>
      <c r="J42" s="7" t="n"/>
      <c r="K42" s="106">
        <f>IF(OR(E42="", F42=""), "", E42*F42)</f>
        <v/>
      </c>
      <c r="L42" s="58" t="n"/>
      <c r="N42" s="108" t="n">
        <v>46380</v>
      </c>
      <c r="O42" s="109" t="inlineStr">
        <is>
          <t>Upper B</t>
        </is>
      </c>
      <c r="P42" s="112">
        <f>COUNTIFS($A$4:$A$1500, N42, $I$4:$I$1500, "Đạt")</f>
        <v/>
      </c>
      <c r="Q42" s="110">
        <f>SUMIFS($K$4:$K$1500, $A$4:$A$1500, N42)</f>
        <v/>
      </c>
      <c r="R42" s="113">
        <f>IF(P42=0, "CHƯA TẬP", IF(P42&gt;=10, "Hoàn thành đầy đủ", "Hoàn thành 1 phần"))</f>
        <v/>
      </c>
    </row>
    <row r="43" ht="22" customHeight="1">
      <c r="A43" s="57" t="n"/>
      <c r="B43" s="7" t="n"/>
      <c r="C43" s="58" t="n"/>
      <c r="D43" s="7" t="n"/>
      <c r="E43" s="65" t="n"/>
      <c r="F43" s="7" t="n"/>
      <c r="G43" s="7" t="n"/>
      <c r="H43" s="7" t="n"/>
      <c r="I43" s="7" t="n"/>
      <c r="J43" s="7" t="n"/>
      <c r="K43" s="106">
        <f>IF(OR(E43="", F43=""), "", E43*F43)</f>
        <v/>
      </c>
      <c r="L43" s="58" t="n"/>
      <c r="N43" s="108" t="n">
        <v>46381</v>
      </c>
      <c r="O43" s="109" t="inlineStr">
        <is>
          <t>Lower B</t>
        </is>
      </c>
      <c r="P43" s="112">
        <f>COUNTIFS($A$4:$A$1500, N43, $I$4:$I$1500, "Đạt")</f>
        <v/>
      </c>
      <c r="Q43" s="110">
        <f>SUMIFS($K$4:$K$1500, $A$4:$A$1500, N43)</f>
        <v/>
      </c>
      <c r="R43" s="113">
        <f>IF(P43=0, "CHƯA TẬP", IF(P43&gt;=10, "Hoàn thành đầy đủ", "Hoàn thành 1 phần"))</f>
        <v/>
      </c>
    </row>
    <row r="44" ht="22" customHeight="1">
      <c r="A44" s="57" t="n"/>
      <c r="B44" s="7" t="n"/>
      <c r="C44" s="58" t="n"/>
      <c r="D44" s="7" t="n"/>
      <c r="E44" s="65" t="n"/>
      <c r="F44" s="7" t="n"/>
      <c r="G44" s="7" t="n"/>
      <c r="H44" s="7" t="n"/>
      <c r="I44" s="7" t="n"/>
      <c r="J44" s="7" t="n"/>
      <c r="K44" s="106">
        <f>IF(OR(E44="", F44=""), "", E44*F44)</f>
        <v/>
      </c>
      <c r="L44" s="58" t="n"/>
      <c r="N44" s="108" t="n">
        <v>46384</v>
      </c>
      <c r="O44" s="109" t="inlineStr">
        <is>
          <t>Upper A</t>
        </is>
      </c>
      <c r="P44" s="112">
        <f>COUNTIFS($A$4:$A$1500, N44, $I$4:$I$1500, "Đạt")</f>
        <v/>
      </c>
      <c r="Q44" s="110">
        <f>SUMIFS($K$4:$K$1500, $A$4:$A$1500, N44)</f>
        <v/>
      </c>
      <c r="R44" s="113">
        <f>IF(P44=0, "CHƯA TẬP", IF(P44&gt;=10, "Hoàn thành đầy đủ", "Hoàn thành 1 phần"))</f>
        <v/>
      </c>
    </row>
    <row r="45" ht="22" customHeight="1">
      <c r="A45" s="57" t="n"/>
      <c r="B45" s="7" t="n"/>
      <c r="C45" s="58" t="n"/>
      <c r="D45" s="7" t="n"/>
      <c r="E45" s="65" t="n"/>
      <c r="F45" s="7" t="n"/>
      <c r="G45" s="7" t="n"/>
      <c r="H45" s="7" t="n"/>
      <c r="I45" s="7" t="n"/>
      <c r="J45" s="7" t="n"/>
      <c r="K45" s="106">
        <f>IF(OR(E45="", F45=""), "", E45*F45)</f>
        <v/>
      </c>
      <c r="L45" s="58" t="n"/>
      <c r="N45" s="108" t="n">
        <v>46385</v>
      </c>
      <c r="O45" s="109" t="inlineStr">
        <is>
          <t>Lower A</t>
        </is>
      </c>
      <c r="P45" s="112">
        <f>COUNTIFS($A$4:$A$1500, N45, $I$4:$I$1500, "Đạt")</f>
        <v/>
      </c>
      <c r="Q45" s="110">
        <f>SUMIFS($K$4:$K$1500, $A$4:$A$1500, N45)</f>
        <v/>
      </c>
      <c r="R45" s="113">
        <f>IF(P45=0, "CHƯA TẬP", IF(P45&gt;=10, "Hoàn thành đầy đủ", "Hoàn thành 1 phần"))</f>
        <v/>
      </c>
    </row>
    <row r="46" ht="22" customHeight="1">
      <c r="A46" s="57" t="n"/>
      <c r="B46" s="7" t="n"/>
      <c r="C46" s="58" t="n"/>
      <c r="D46" s="7" t="n"/>
      <c r="E46" s="65" t="n"/>
      <c r="F46" s="7" t="n"/>
      <c r="G46" s="7" t="n"/>
      <c r="H46" s="7" t="n"/>
      <c r="I46" s="7" t="n"/>
      <c r="J46" s="7" t="n"/>
      <c r="K46" s="106">
        <f>IF(OR(E46="", F46=""), "", E46*F46)</f>
        <v/>
      </c>
      <c r="L46" s="58" t="n"/>
      <c r="N46" s="108" t="n">
        <v>46387</v>
      </c>
      <c r="O46" s="109" t="inlineStr">
        <is>
          <t>Upper B</t>
        </is>
      </c>
      <c r="P46" s="112">
        <f>COUNTIFS($A$4:$A$1500, N46, $I$4:$I$1500, "Đạt")</f>
        <v/>
      </c>
      <c r="Q46" s="110">
        <f>SUMIFS($K$4:$K$1500, $A$4:$A$1500, N46)</f>
        <v/>
      </c>
      <c r="R46" s="113">
        <f>IF(P46=0, "CHƯA TẬP", IF(P46&gt;=10, "Hoàn thành đầy đủ", "Hoàn thành 1 phần"))</f>
        <v/>
      </c>
    </row>
    <row r="47" ht="22" customHeight="1">
      <c r="A47" s="57" t="n"/>
      <c r="B47" s="7" t="n"/>
      <c r="C47" s="58" t="n"/>
      <c r="D47" s="7" t="n"/>
      <c r="E47" s="65" t="n"/>
      <c r="F47" s="7" t="n"/>
      <c r="G47" s="7" t="n"/>
      <c r="H47" s="7" t="n"/>
      <c r="I47" s="7" t="n"/>
      <c r="J47" s="7" t="n"/>
      <c r="K47" s="106">
        <f>IF(OR(E47="", F47=""), "", E47*F47)</f>
        <v/>
      </c>
      <c r="L47" s="58" t="n"/>
      <c r="N47" s="108" t="n">
        <v>46388</v>
      </c>
      <c r="O47" s="109" t="inlineStr">
        <is>
          <t>Lower B</t>
        </is>
      </c>
      <c r="P47" s="112">
        <f>COUNTIFS($A$4:$A$1500, N47, $I$4:$I$1500, "Đạt")</f>
        <v/>
      </c>
      <c r="Q47" s="110">
        <f>SUMIFS($K$4:$K$1500, $A$4:$A$1500, N47)</f>
        <v/>
      </c>
      <c r="R47" s="113">
        <f>IF(P47=0, "CHƯA TẬP", IF(P47&gt;=10, "Hoàn thành đầy đủ", "Hoàn thành 1 phần"))</f>
        <v/>
      </c>
    </row>
    <row r="48" ht="22" customHeight="1">
      <c r="A48" s="57" t="n"/>
      <c r="B48" s="7" t="n"/>
      <c r="C48" s="58" t="n"/>
      <c r="D48" s="7" t="n"/>
      <c r="E48" s="65" t="n"/>
      <c r="F48" s="7" t="n"/>
      <c r="G48" s="7" t="n"/>
      <c r="H48" s="7" t="n"/>
      <c r="I48" s="7" t="n"/>
      <c r="J48" s="7" t="n"/>
      <c r="K48" s="106">
        <f>IF(OR(E48="", F48=""), "", E48*F48)</f>
        <v/>
      </c>
      <c r="L48" s="58" t="n"/>
      <c r="N48" s="108" t="n">
        <v>46391</v>
      </c>
      <c r="O48" s="109" t="inlineStr">
        <is>
          <t>Upper A</t>
        </is>
      </c>
      <c r="P48" s="112">
        <f>COUNTIFS($A$4:$A$1500, N48, $I$4:$I$1500, "Đạt")</f>
        <v/>
      </c>
      <c r="Q48" s="110">
        <f>SUMIFS($K$4:$K$1500, $A$4:$A$1500, N48)</f>
        <v/>
      </c>
      <c r="R48" s="113">
        <f>IF(P48=0, "CHƯA TẬP", IF(P48&gt;=10, "Hoàn thành đầy đủ", "Hoàn thành 1 phần"))</f>
        <v/>
      </c>
    </row>
    <row r="49" ht="22" customHeight="1">
      <c r="A49" s="57" t="n"/>
      <c r="B49" s="7" t="n"/>
      <c r="C49" s="58" t="n"/>
      <c r="D49" s="7" t="n"/>
      <c r="E49" s="65" t="n"/>
      <c r="F49" s="7" t="n"/>
      <c r="G49" s="7" t="n"/>
      <c r="H49" s="7" t="n"/>
      <c r="I49" s="7" t="n"/>
      <c r="J49" s="7" t="n"/>
      <c r="K49" s="106">
        <f>IF(OR(E49="", F49=""), "", E49*F49)</f>
        <v/>
      </c>
      <c r="L49" s="58" t="n"/>
      <c r="N49" s="108" t="n">
        <v>46392</v>
      </c>
      <c r="O49" s="109" t="inlineStr">
        <is>
          <t>Lower A</t>
        </is>
      </c>
      <c r="P49" s="112">
        <f>COUNTIFS($A$4:$A$1500, N49, $I$4:$I$1500, "Đạt")</f>
        <v/>
      </c>
      <c r="Q49" s="110">
        <f>SUMIFS($K$4:$K$1500, $A$4:$A$1500, N49)</f>
        <v/>
      </c>
      <c r="R49" s="113">
        <f>IF(P49=0, "CHƯA TẬP", IF(P49&gt;=10, "Hoàn thành đầy đủ", "Hoàn thành 1 phần"))</f>
        <v/>
      </c>
    </row>
    <row r="50" ht="22" customHeight="1">
      <c r="A50" s="57" t="n"/>
      <c r="B50" s="7" t="n"/>
      <c r="C50" s="58" t="n"/>
      <c r="D50" s="7" t="n"/>
      <c r="E50" s="65" t="n"/>
      <c r="F50" s="7" t="n"/>
      <c r="G50" s="7" t="n"/>
      <c r="H50" s="7" t="n"/>
      <c r="I50" s="7" t="n"/>
      <c r="J50" s="7" t="n"/>
      <c r="K50" s="106">
        <f>IF(OR(E50="", F50=""), "", E50*F50)</f>
        <v/>
      </c>
      <c r="L50" s="58" t="n"/>
      <c r="N50" s="108" t="n">
        <v>46394</v>
      </c>
      <c r="O50" s="109" t="inlineStr">
        <is>
          <t>Upper B</t>
        </is>
      </c>
      <c r="P50" s="112">
        <f>COUNTIFS($A$4:$A$1500, N50, $I$4:$I$1500, "Đạt")</f>
        <v/>
      </c>
      <c r="Q50" s="110">
        <f>SUMIFS($K$4:$K$1500, $A$4:$A$1500, N50)</f>
        <v/>
      </c>
      <c r="R50" s="113">
        <f>IF(P50=0, "CHƯA TẬP", IF(P50&gt;=10, "Hoàn thành đầy đủ", "Hoàn thành 1 phần"))</f>
        <v/>
      </c>
    </row>
    <row r="51" ht="22" customHeight="1">
      <c r="A51" s="57" t="n"/>
      <c r="B51" s="7" t="n"/>
      <c r="C51" s="58" t="n"/>
      <c r="D51" s="7" t="n"/>
      <c r="E51" s="65" t="n"/>
      <c r="F51" s="7" t="n"/>
      <c r="G51" s="7" t="n"/>
      <c r="H51" s="7" t="n"/>
      <c r="I51" s="7" t="n"/>
      <c r="J51" s="7" t="n"/>
      <c r="K51" s="106">
        <f>IF(OR(E51="", F51=""), "", E51*F51)</f>
        <v/>
      </c>
      <c r="L51" s="58" t="n"/>
      <c r="N51" s="108" t="n">
        <v>46395</v>
      </c>
      <c r="O51" s="109" t="inlineStr">
        <is>
          <t>Lower B</t>
        </is>
      </c>
      <c r="P51" s="112">
        <f>COUNTIFS($A$4:$A$1500, N51, $I$4:$I$1500, "Đạt")</f>
        <v/>
      </c>
      <c r="Q51" s="110">
        <f>SUMIFS($K$4:$K$1500, $A$4:$A$1500, N51)</f>
        <v/>
      </c>
      <c r="R51" s="113">
        <f>IF(P51=0, "CHƯA TẬP", IF(P51&gt;=10, "Hoàn thành đầy đủ", "Hoàn thành 1 phần"))</f>
        <v/>
      </c>
    </row>
    <row r="52" ht="22" customHeight="1">
      <c r="A52" s="57" t="n"/>
      <c r="B52" s="7" t="n"/>
      <c r="C52" s="58" t="n"/>
      <c r="D52" s="7" t="n"/>
      <c r="E52" s="65" t="n"/>
      <c r="F52" s="7" t="n"/>
      <c r="G52" s="7" t="n"/>
      <c r="H52" s="7" t="n"/>
      <c r="I52" s="7" t="n"/>
      <c r="J52" s="7" t="n"/>
      <c r="K52" s="106">
        <f>IF(OR(E52="", F52=""), "", E52*F52)</f>
        <v/>
      </c>
      <c r="L52" s="58" t="n"/>
      <c r="N52" s="108" t="n">
        <v>46398</v>
      </c>
      <c r="O52" s="109" t="inlineStr">
        <is>
          <t>Upper A</t>
        </is>
      </c>
      <c r="P52" s="112">
        <f>COUNTIFS($A$4:$A$1500, N52, $I$4:$I$1500, "Đạt")</f>
        <v/>
      </c>
      <c r="Q52" s="110">
        <f>SUMIFS($K$4:$K$1500, $A$4:$A$1500, N52)</f>
        <v/>
      </c>
      <c r="R52" s="113">
        <f>IF(P52=0, "CHƯA TẬP", IF(P52&gt;=10, "Hoàn thành đầy đủ", "Hoàn thành 1 phần"))</f>
        <v/>
      </c>
    </row>
    <row r="53" ht="22" customHeight="1">
      <c r="A53" s="57" t="n"/>
      <c r="B53" s="7" t="n"/>
      <c r="C53" s="58" t="n"/>
      <c r="D53" s="7" t="n"/>
      <c r="E53" s="65" t="n"/>
      <c r="F53" s="7" t="n"/>
      <c r="G53" s="7" t="n"/>
      <c r="H53" s="7" t="n"/>
      <c r="I53" s="7" t="n"/>
      <c r="J53" s="7" t="n"/>
      <c r="K53" s="106">
        <f>IF(OR(E53="", F53=""), "", E53*F53)</f>
        <v/>
      </c>
      <c r="L53" s="58" t="n"/>
      <c r="N53" s="108" t="n">
        <v>46399</v>
      </c>
      <c r="O53" s="109" t="inlineStr">
        <is>
          <t>Lower A</t>
        </is>
      </c>
      <c r="P53" s="112">
        <f>COUNTIFS($A$4:$A$1500, N53, $I$4:$I$1500, "Đạt")</f>
        <v/>
      </c>
      <c r="Q53" s="110">
        <f>SUMIFS($K$4:$K$1500, $A$4:$A$1500, N53)</f>
        <v/>
      </c>
      <c r="R53" s="113">
        <f>IF(P53=0, "CHƯA TẬP", IF(P53&gt;=10, "Hoàn thành đầy đủ", "Hoàn thành 1 phần"))</f>
        <v/>
      </c>
    </row>
    <row r="54" ht="22" customHeight="1">
      <c r="A54" s="57" t="n"/>
      <c r="B54" s="7" t="n"/>
      <c r="C54" s="58" t="n"/>
      <c r="D54" s="7" t="n"/>
      <c r="E54" s="65" t="n"/>
      <c r="F54" s="7" t="n"/>
      <c r="G54" s="7" t="n"/>
      <c r="H54" s="7" t="n"/>
      <c r="I54" s="7" t="n"/>
      <c r="J54" s="7" t="n"/>
      <c r="K54" s="106">
        <f>IF(OR(E54="", F54=""), "", E54*F54)</f>
        <v/>
      </c>
      <c r="L54" s="58" t="n"/>
      <c r="N54" s="108" t="n">
        <v>46401</v>
      </c>
      <c r="O54" s="109" t="inlineStr">
        <is>
          <t>Upper B</t>
        </is>
      </c>
      <c r="P54" s="112">
        <f>COUNTIFS($A$4:$A$1500, N54, $I$4:$I$1500, "Đạt")</f>
        <v/>
      </c>
      <c r="Q54" s="110">
        <f>SUMIFS($K$4:$K$1500, $A$4:$A$1500, N54)</f>
        <v/>
      </c>
      <c r="R54" s="113">
        <f>IF(P54=0, "CHƯA TẬP", IF(P54&gt;=10, "Hoàn thành đầy đủ", "Hoàn thành 1 phần"))</f>
        <v/>
      </c>
    </row>
    <row r="55" ht="22" customHeight="1">
      <c r="A55" s="57" t="n"/>
      <c r="B55" s="7" t="n"/>
      <c r="C55" s="58" t="n"/>
      <c r="D55" s="7" t="n"/>
      <c r="E55" s="65" t="n"/>
      <c r="F55" s="7" t="n"/>
      <c r="G55" s="7" t="n"/>
      <c r="H55" s="7" t="n"/>
      <c r="I55" s="7" t="n"/>
      <c r="J55" s="7" t="n"/>
      <c r="K55" s="106">
        <f>IF(OR(E55="", F55=""), "", E55*F55)</f>
        <v/>
      </c>
      <c r="L55" s="58" t="n"/>
      <c r="N55" s="108" t="n">
        <v>46402</v>
      </c>
      <c r="O55" s="109" t="inlineStr">
        <is>
          <t>Lower B</t>
        </is>
      </c>
      <c r="P55" s="112">
        <f>COUNTIFS($A$4:$A$1500, N55, $I$4:$I$1500, "Đạt")</f>
        <v/>
      </c>
      <c r="Q55" s="110">
        <f>SUMIFS($K$4:$K$1500, $A$4:$A$1500, N55)</f>
        <v/>
      </c>
      <c r="R55" s="113">
        <f>IF(P55=0, "CHƯA TẬP", IF(P55&gt;=10, "Hoàn thành đầy đủ", "Hoàn thành 1 phần"))</f>
        <v/>
      </c>
    </row>
    <row r="56" ht="22" customHeight="1">
      <c r="A56" s="57" t="n"/>
      <c r="B56" s="7" t="n"/>
      <c r="C56" s="58" t="n"/>
      <c r="D56" s="7" t="n"/>
      <c r="E56" s="65" t="n"/>
      <c r="F56" s="7" t="n"/>
      <c r="G56" s="7" t="n"/>
      <c r="H56" s="7" t="n"/>
      <c r="I56" s="7" t="n"/>
      <c r="J56" s="7" t="n"/>
      <c r="K56" s="106">
        <f>IF(OR(E56="", F56=""), "", E56*F56)</f>
        <v/>
      </c>
      <c r="L56" s="58" t="n"/>
      <c r="N56" s="108" t="n">
        <v>46405</v>
      </c>
      <c r="O56" s="109" t="inlineStr">
        <is>
          <t>Upper A</t>
        </is>
      </c>
      <c r="P56" s="112">
        <f>COUNTIFS($A$4:$A$1500, N56, $I$4:$I$1500, "Đạt")</f>
        <v/>
      </c>
      <c r="Q56" s="110">
        <f>SUMIFS($K$4:$K$1500, $A$4:$A$1500, N56)</f>
        <v/>
      </c>
      <c r="R56" s="113">
        <f>IF(P56=0, "CHƯA TẬP", IF(P56&gt;=10, "Hoàn thành đầy đủ", "Hoàn thành 1 phần"))</f>
        <v/>
      </c>
    </row>
    <row r="57" ht="22" customHeight="1">
      <c r="A57" s="57" t="n"/>
      <c r="B57" s="7" t="n"/>
      <c r="C57" s="58" t="n"/>
      <c r="D57" s="7" t="n"/>
      <c r="E57" s="65" t="n"/>
      <c r="F57" s="7" t="n"/>
      <c r="G57" s="7" t="n"/>
      <c r="H57" s="7" t="n"/>
      <c r="I57" s="7" t="n"/>
      <c r="J57" s="7" t="n"/>
      <c r="K57" s="106">
        <f>IF(OR(E57="", F57=""), "", E57*F57)</f>
        <v/>
      </c>
      <c r="L57" s="58" t="n"/>
      <c r="N57" s="108" t="n">
        <v>46406</v>
      </c>
      <c r="O57" s="109" t="inlineStr">
        <is>
          <t>Lower A</t>
        </is>
      </c>
      <c r="P57" s="112">
        <f>COUNTIFS($A$4:$A$1500, N57, $I$4:$I$1500, "Đạt")</f>
        <v/>
      </c>
      <c r="Q57" s="110">
        <f>SUMIFS($K$4:$K$1500, $A$4:$A$1500, N57)</f>
        <v/>
      </c>
      <c r="R57" s="113">
        <f>IF(P57=0, "CHƯA TẬP", IF(P57&gt;=10, "Hoàn thành đầy đủ", "Hoàn thành 1 phần"))</f>
        <v/>
      </c>
    </row>
    <row r="58" ht="22" customHeight="1">
      <c r="A58" s="57" t="n"/>
      <c r="B58" s="7" t="n"/>
      <c r="C58" s="58" t="n"/>
      <c r="D58" s="7" t="n"/>
      <c r="E58" s="65" t="n"/>
      <c r="F58" s="7" t="n"/>
      <c r="G58" s="7" t="n"/>
      <c r="H58" s="7" t="n"/>
      <c r="I58" s="7" t="n"/>
      <c r="J58" s="7" t="n"/>
      <c r="K58" s="106">
        <f>IF(OR(E58="", F58=""), "", E58*F58)</f>
        <v/>
      </c>
      <c r="L58" s="58" t="n"/>
      <c r="N58" s="108" t="n">
        <v>46408</v>
      </c>
      <c r="O58" s="109" t="inlineStr">
        <is>
          <t>Upper B</t>
        </is>
      </c>
      <c r="P58" s="112">
        <f>COUNTIFS($A$4:$A$1500, N58, $I$4:$I$1500, "Đạt")</f>
        <v/>
      </c>
      <c r="Q58" s="110">
        <f>SUMIFS($K$4:$K$1500, $A$4:$A$1500, N58)</f>
        <v/>
      </c>
      <c r="R58" s="113">
        <f>IF(P58=0, "CHƯA TẬP", IF(P58&gt;=10, "Hoàn thành đầy đủ", "Hoàn thành 1 phần"))</f>
        <v/>
      </c>
    </row>
    <row r="59" ht="22" customHeight="1">
      <c r="A59" s="57" t="n"/>
      <c r="B59" s="7" t="n"/>
      <c r="C59" s="58" t="n"/>
      <c r="D59" s="7" t="n"/>
      <c r="E59" s="65" t="n"/>
      <c r="F59" s="7" t="n"/>
      <c r="G59" s="7" t="n"/>
      <c r="H59" s="7" t="n"/>
      <c r="I59" s="7" t="n"/>
      <c r="J59" s="7" t="n"/>
      <c r="K59" s="106">
        <f>IF(OR(E59="", F59=""), "", E59*F59)</f>
        <v/>
      </c>
      <c r="L59" s="58" t="n"/>
      <c r="N59" s="108" t="n">
        <v>46409</v>
      </c>
      <c r="O59" s="109" t="inlineStr">
        <is>
          <t>Lower B</t>
        </is>
      </c>
      <c r="P59" s="112">
        <f>COUNTIFS($A$4:$A$1500, N59, $I$4:$I$1500, "Đạt")</f>
        <v/>
      </c>
      <c r="Q59" s="110">
        <f>SUMIFS($K$4:$K$1500, $A$4:$A$1500, N59)</f>
        <v/>
      </c>
      <c r="R59" s="113">
        <f>IF(P59=0, "CHƯA TẬP", IF(P59&gt;=10, "Hoàn thành đầy đủ", "Hoàn thành 1 phần"))</f>
        <v/>
      </c>
    </row>
    <row r="60" ht="22" customHeight="1">
      <c r="A60" s="57" t="n"/>
      <c r="B60" s="7" t="n"/>
      <c r="C60" s="58" t="n"/>
      <c r="D60" s="7" t="n"/>
      <c r="E60" s="65" t="n"/>
      <c r="F60" s="7" t="n"/>
      <c r="G60" s="7" t="n"/>
      <c r="H60" s="7" t="n"/>
      <c r="I60" s="7" t="n"/>
      <c r="J60" s="7" t="n"/>
      <c r="K60" s="106">
        <f>IF(OR(E60="", F60=""), "", E60*F60)</f>
        <v/>
      </c>
      <c r="L60" s="58" t="n"/>
      <c r="N60" s="108" t="n">
        <v>46412</v>
      </c>
      <c r="O60" s="109" t="inlineStr">
        <is>
          <t>Upper A</t>
        </is>
      </c>
      <c r="P60" s="112">
        <f>COUNTIFS($A$4:$A$1500, N60, $I$4:$I$1500, "Đạt")</f>
        <v/>
      </c>
      <c r="Q60" s="110">
        <f>SUMIFS($K$4:$K$1500, $A$4:$A$1500, N60)</f>
        <v/>
      </c>
      <c r="R60" s="113">
        <f>IF(P60=0, "CHƯA TẬP", IF(P60&gt;=10, "Hoàn thành đầy đủ", "Hoàn thành 1 phần"))</f>
        <v/>
      </c>
    </row>
    <row r="61" ht="22" customHeight="1">
      <c r="A61" s="57" t="n"/>
      <c r="B61" s="7" t="n"/>
      <c r="C61" s="58" t="n"/>
      <c r="D61" s="7" t="n"/>
      <c r="E61" s="65" t="n"/>
      <c r="F61" s="7" t="n"/>
      <c r="G61" s="7" t="n"/>
      <c r="H61" s="7" t="n"/>
      <c r="I61" s="7" t="n"/>
      <c r="J61" s="7" t="n"/>
      <c r="K61" s="106">
        <f>IF(OR(E61="", F61=""), "", E61*F61)</f>
        <v/>
      </c>
      <c r="L61" s="58" t="n"/>
      <c r="N61" s="108" t="n">
        <v>46413</v>
      </c>
      <c r="O61" s="109" t="inlineStr">
        <is>
          <t>Lower A</t>
        </is>
      </c>
      <c r="P61" s="112">
        <f>COUNTIFS($A$4:$A$1500, N61, $I$4:$I$1500, "Đạt")</f>
        <v/>
      </c>
      <c r="Q61" s="110">
        <f>SUMIFS($K$4:$K$1500, $A$4:$A$1500, N61)</f>
        <v/>
      </c>
      <c r="R61" s="113">
        <f>IF(P61=0, "CHƯA TẬP", IF(P61&gt;=10, "Hoàn thành đầy đủ", "Hoàn thành 1 phần"))</f>
        <v/>
      </c>
    </row>
    <row r="62" ht="22" customHeight="1">
      <c r="A62" s="57" t="n"/>
      <c r="B62" s="7" t="n"/>
      <c r="C62" s="58" t="n"/>
      <c r="D62" s="7" t="n"/>
      <c r="E62" s="65" t="n"/>
      <c r="F62" s="7" t="n"/>
      <c r="G62" s="7" t="n"/>
      <c r="H62" s="7" t="n"/>
      <c r="I62" s="7" t="n"/>
      <c r="J62" s="7" t="n"/>
      <c r="K62" s="106">
        <f>IF(OR(E62="", F62=""), "", E62*F62)</f>
        <v/>
      </c>
      <c r="L62" s="58" t="n"/>
      <c r="N62" s="108" t="n">
        <v>46415</v>
      </c>
      <c r="O62" s="109" t="inlineStr">
        <is>
          <t>Upper B</t>
        </is>
      </c>
      <c r="P62" s="112">
        <f>COUNTIFS($A$4:$A$1500, N62, $I$4:$I$1500, "Đạt")</f>
        <v/>
      </c>
      <c r="Q62" s="110">
        <f>SUMIFS($K$4:$K$1500, $A$4:$A$1500, N62)</f>
        <v/>
      </c>
      <c r="R62" s="113">
        <f>IF(P62=0, "CHƯA TẬP", IF(P62&gt;=10, "Hoàn thành đầy đủ", "Hoàn thành 1 phần"))</f>
        <v/>
      </c>
    </row>
    <row r="63" ht="22" customHeight="1">
      <c r="A63" s="57" t="n"/>
      <c r="B63" s="7" t="n"/>
      <c r="C63" s="58" t="n"/>
      <c r="D63" s="7" t="n"/>
      <c r="E63" s="65" t="n"/>
      <c r="F63" s="7" t="n"/>
      <c r="G63" s="7" t="n"/>
      <c r="H63" s="7" t="n"/>
      <c r="I63" s="7" t="n"/>
      <c r="J63" s="7" t="n"/>
      <c r="K63" s="106">
        <f>IF(OR(E63="", F63=""), "", E63*F63)</f>
        <v/>
      </c>
      <c r="L63" s="58" t="n"/>
      <c r="N63" s="108" t="n">
        <v>46416</v>
      </c>
      <c r="O63" s="109" t="inlineStr">
        <is>
          <t>Lower B</t>
        </is>
      </c>
      <c r="P63" s="112">
        <f>COUNTIFS($A$4:$A$1500, N63, $I$4:$I$1500, "Đạt")</f>
        <v/>
      </c>
      <c r="Q63" s="110">
        <f>SUMIFS($K$4:$K$1500, $A$4:$A$1500, N63)</f>
        <v/>
      </c>
      <c r="R63" s="113">
        <f>IF(P63=0, "CHƯA TẬP", IF(P63&gt;=10, "Hoàn thành đầy đủ", "Hoàn thành 1 phần"))</f>
        <v/>
      </c>
    </row>
    <row r="64" ht="22" customHeight="1">
      <c r="A64" s="57" t="n"/>
      <c r="B64" s="7" t="n"/>
      <c r="C64" s="58" t="n"/>
      <c r="D64" s="7" t="n"/>
      <c r="E64" s="65" t="n"/>
      <c r="F64" s="7" t="n"/>
      <c r="G64" s="7" t="n"/>
      <c r="H64" s="7" t="n"/>
      <c r="I64" s="7" t="n"/>
      <c r="J64" s="7" t="n"/>
      <c r="K64" s="106">
        <f>IF(OR(E64="", F64=""), "", E64*F64)</f>
        <v/>
      </c>
      <c r="L64" s="58" t="n"/>
      <c r="N64" s="108" t="n">
        <v>46419</v>
      </c>
      <c r="O64" s="109" t="inlineStr">
        <is>
          <t>Upper A</t>
        </is>
      </c>
      <c r="P64" s="112">
        <f>COUNTIFS($A$4:$A$1500, N64, $I$4:$I$1500, "Đạt")</f>
        <v/>
      </c>
      <c r="Q64" s="110">
        <f>SUMIFS($K$4:$K$1500, $A$4:$A$1500, N64)</f>
        <v/>
      </c>
      <c r="R64" s="113">
        <f>IF(P64=0, "CHƯA TẬP", IF(P64&gt;=10, "Hoàn thành đầy đủ", "Hoàn thành 1 phần"))</f>
        <v/>
      </c>
    </row>
    <row r="65" ht="22" customHeight="1">
      <c r="A65" s="57" t="n"/>
      <c r="B65" s="7" t="n"/>
      <c r="C65" s="58" t="n"/>
      <c r="D65" s="7" t="n"/>
      <c r="E65" s="65" t="n"/>
      <c r="F65" s="7" t="n"/>
      <c r="G65" s="7" t="n"/>
      <c r="H65" s="7" t="n"/>
      <c r="I65" s="7" t="n"/>
      <c r="J65" s="7" t="n"/>
      <c r="K65" s="106">
        <f>IF(OR(E65="", F65=""), "", E65*F65)</f>
        <v/>
      </c>
      <c r="L65" s="58" t="n"/>
      <c r="N65" s="108" t="n">
        <v>46420</v>
      </c>
      <c r="O65" s="109" t="inlineStr">
        <is>
          <t>Lower A</t>
        </is>
      </c>
      <c r="P65" s="112">
        <f>COUNTIFS($A$4:$A$1500, N65, $I$4:$I$1500, "Đạt")</f>
        <v/>
      </c>
      <c r="Q65" s="110">
        <f>SUMIFS($K$4:$K$1500, $A$4:$A$1500, N65)</f>
        <v/>
      </c>
      <c r="R65" s="113">
        <f>IF(P65=0, "CHƯA TẬP", IF(P65&gt;=10, "Hoàn thành đầy đủ", "Hoàn thành 1 phần"))</f>
        <v/>
      </c>
    </row>
    <row r="66" ht="22" customHeight="1">
      <c r="A66" s="57" t="n"/>
      <c r="B66" s="7" t="n"/>
      <c r="C66" s="58" t="n"/>
      <c r="D66" s="7" t="n"/>
      <c r="E66" s="65" t="n"/>
      <c r="F66" s="7" t="n"/>
      <c r="G66" s="7" t="n"/>
      <c r="H66" s="7" t="n"/>
      <c r="I66" s="7" t="n"/>
      <c r="J66" s="7" t="n"/>
      <c r="K66" s="106">
        <f>IF(OR(E66="", F66=""), "", E66*F66)</f>
        <v/>
      </c>
      <c r="L66" s="58" t="n"/>
      <c r="N66" s="108" t="n">
        <v>46422</v>
      </c>
      <c r="O66" s="109" t="inlineStr">
        <is>
          <t>Upper B</t>
        </is>
      </c>
      <c r="P66" s="112">
        <f>COUNTIFS($A$4:$A$1500, N66, $I$4:$I$1500, "Đạt")</f>
        <v/>
      </c>
      <c r="Q66" s="110">
        <f>SUMIFS($K$4:$K$1500, $A$4:$A$1500, N66)</f>
        <v/>
      </c>
      <c r="R66" s="113">
        <f>IF(P66=0, "CHƯA TẬP", IF(P66&gt;=10, "Hoàn thành đầy đủ", "Hoàn thành 1 phần"))</f>
        <v/>
      </c>
    </row>
    <row r="67" ht="22" customHeight="1">
      <c r="A67" s="57" t="n"/>
      <c r="B67" s="7" t="n"/>
      <c r="C67" s="58" t="n"/>
      <c r="D67" s="7" t="n"/>
      <c r="E67" s="65" t="n"/>
      <c r="F67" s="7" t="n"/>
      <c r="G67" s="7" t="n"/>
      <c r="H67" s="7" t="n"/>
      <c r="I67" s="7" t="n"/>
      <c r="J67" s="7" t="n"/>
      <c r="K67" s="106">
        <f>IF(OR(E67="", F67=""), "", E67*F67)</f>
        <v/>
      </c>
      <c r="L67" s="58" t="n"/>
      <c r="N67" s="108" t="n">
        <v>46423</v>
      </c>
      <c r="O67" s="109" t="inlineStr">
        <is>
          <t>Lower B</t>
        </is>
      </c>
      <c r="P67" s="112">
        <f>COUNTIFS($A$4:$A$1500, N67, $I$4:$I$1500, "Đạt")</f>
        <v/>
      </c>
      <c r="Q67" s="110">
        <f>SUMIFS($K$4:$K$1500, $A$4:$A$1500, N67)</f>
        <v/>
      </c>
      <c r="R67" s="113">
        <f>IF(P67=0, "CHƯA TẬP", IF(P67&gt;=10, "Hoàn thành đầy đủ", "Hoàn thành 1 phần"))</f>
        <v/>
      </c>
    </row>
    <row r="68" ht="22" customHeight="1">
      <c r="A68" s="57" t="n"/>
      <c r="B68" s="7" t="n"/>
      <c r="C68" s="58" t="n"/>
      <c r="D68" s="7" t="n"/>
      <c r="E68" s="65" t="n"/>
      <c r="F68" s="7" t="n"/>
      <c r="G68" s="7" t="n"/>
      <c r="H68" s="7" t="n"/>
      <c r="I68" s="7" t="n"/>
      <c r="J68" s="7" t="n"/>
      <c r="K68" s="106">
        <f>IF(OR(E68="", F68=""), "", E68*F68)</f>
        <v/>
      </c>
      <c r="L68" s="58" t="n"/>
      <c r="N68" s="108" t="n">
        <v>46426</v>
      </c>
      <c r="O68" s="109" t="inlineStr">
        <is>
          <t>Upper A</t>
        </is>
      </c>
      <c r="P68" s="112">
        <f>COUNTIFS($A$4:$A$1500, N68, $I$4:$I$1500, "Đạt")</f>
        <v/>
      </c>
      <c r="Q68" s="110">
        <f>SUMIFS($K$4:$K$1500, $A$4:$A$1500, N68)</f>
        <v/>
      </c>
      <c r="R68" s="113">
        <f>IF(P68=0, "CHƯA TẬP", IF(P68&gt;=10, "Hoàn thành đầy đủ", "Hoàn thành 1 phần"))</f>
        <v/>
      </c>
    </row>
    <row r="69" ht="22" customHeight="1">
      <c r="A69" s="57" t="n"/>
      <c r="B69" s="7" t="n"/>
      <c r="C69" s="58" t="n"/>
      <c r="D69" s="7" t="n"/>
      <c r="E69" s="65" t="n"/>
      <c r="F69" s="7" t="n"/>
      <c r="G69" s="7" t="n"/>
      <c r="H69" s="7" t="n"/>
      <c r="I69" s="7" t="n"/>
      <c r="J69" s="7" t="n"/>
      <c r="K69" s="106">
        <f>IF(OR(E69="", F69=""), "", E69*F69)</f>
        <v/>
      </c>
      <c r="L69" s="58" t="n"/>
      <c r="N69" s="108" t="n">
        <v>46427</v>
      </c>
      <c r="O69" s="109" t="inlineStr">
        <is>
          <t>Lower A</t>
        </is>
      </c>
      <c r="P69" s="112">
        <f>COUNTIFS($A$4:$A$1500, N69, $I$4:$I$1500, "Đạt")</f>
        <v/>
      </c>
      <c r="Q69" s="110">
        <f>SUMIFS($K$4:$K$1500, $A$4:$A$1500, N69)</f>
        <v/>
      </c>
      <c r="R69" s="113">
        <f>IF(P69=0, "CHƯA TẬP", IF(P69&gt;=10, "Hoàn thành đầy đủ", "Hoàn thành 1 phần"))</f>
        <v/>
      </c>
    </row>
    <row r="70" ht="22" customHeight="1">
      <c r="A70" s="57" t="n"/>
      <c r="B70" s="7" t="n"/>
      <c r="C70" s="58" t="n"/>
      <c r="D70" s="7" t="n"/>
      <c r="E70" s="65" t="n"/>
      <c r="F70" s="7" t="n"/>
      <c r="G70" s="7" t="n"/>
      <c r="H70" s="7" t="n"/>
      <c r="I70" s="7" t="n"/>
      <c r="J70" s="7" t="n"/>
      <c r="K70" s="106">
        <f>IF(OR(E70="", F70=""), "", E70*F70)</f>
        <v/>
      </c>
      <c r="L70" s="58" t="n"/>
      <c r="N70" s="108" t="n">
        <v>46429</v>
      </c>
      <c r="O70" s="109" t="inlineStr">
        <is>
          <t>Upper B</t>
        </is>
      </c>
      <c r="P70" s="112">
        <f>COUNTIFS($A$4:$A$1500, N70, $I$4:$I$1500, "Đạt")</f>
        <v/>
      </c>
      <c r="Q70" s="110">
        <f>SUMIFS($K$4:$K$1500, $A$4:$A$1500, N70)</f>
        <v/>
      </c>
      <c r="R70" s="113">
        <f>IF(P70=0, "CHƯA TẬP", IF(P70&gt;=10, "Hoàn thành đầy đủ", "Hoàn thành 1 phần"))</f>
        <v/>
      </c>
    </row>
    <row r="71" ht="22" customHeight="1">
      <c r="A71" s="57" t="n"/>
      <c r="B71" s="7" t="n"/>
      <c r="C71" s="58" t="n"/>
      <c r="D71" s="7" t="n"/>
      <c r="E71" s="65" t="n"/>
      <c r="F71" s="7" t="n"/>
      <c r="G71" s="7" t="n"/>
      <c r="H71" s="7" t="n"/>
      <c r="I71" s="7" t="n"/>
      <c r="J71" s="7" t="n"/>
      <c r="K71" s="106">
        <f>IF(OR(E71="", F71=""), "", E71*F71)</f>
        <v/>
      </c>
      <c r="L71" s="58" t="n"/>
      <c r="N71" s="108" t="n">
        <v>46430</v>
      </c>
      <c r="O71" s="109" t="inlineStr">
        <is>
          <t>Lower B</t>
        </is>
      </c>
      <c r="P71" s="112">
        <f>COUNTIFS($A$4:$A$1500, N71, $I$4:$I$1500, "Đạt")</f>
        <v/>
      </c>
      <c r="Q71" s="110">
        <f>SUMIFS($K$4:$K$1500, $A$4:$A$1500, N71)</f>
        <v/>
      </c>
      <c r="R71" s="113">
        <f>IF(P71=0, "CHƯA TẬP", IF(P71&gt;=10, "Hoàn thành đầy đủ", "Hoàn thành 1 phần"))</f>
        <v/>
      </c>
    </row>
    <row r="72" ht="22" customHeight="1">
      <c r="A72" s="57" t="n"/>
      <c r="B72" s="7" t="n"/>
      <c r="C72" s="58" t="n"/>
      <c r="D72" s="7" t="n"/>
      <c r="E72" s="65" t="n"/>
      <c r="F72" s="7" t="n"/>
      <c r="G72" s="7" t="n"/>
      <c r="H72" s="7" t="n"/>
      <c r="I72" s="7" t="n"/>
      <c r="J72" s="7" t="n"/>
      <c r="K72" s="106">
        <f>IF(OR(E72="", F72=""), "", E72*F72)</f>
        <v/>
      </c>
      <c r="L72" s="58" t="n"/>
      <c r="N72" s="108" t="n">
        <v>46433</v>
      </c>
      <c r="O72" s="109" t="inlineStr">
        <is>
          <t>Upper A</t>
        </is>
      </c>
      <c r="P72" s="112">
        <f>COUNTIFS($A$4:$A$1500, N72, $I$4:$I$1500, "Đạt")</f>
        <v/>
      </c>
      <c r="Q72" s="110">
        <f>SUMIFS($K$4:$K$1500, $A$4:$A$1500, N72)</f>
        <v/>
      </c>
      <c r="R72" s="113">
        <f>IF(P72=0, "CHƯA TẬP", IF(P72&gt;=10, "Hoàn thành đầy đủ", "Hoàn thành 1 phần"))</f>
        <v/>
      </c>
    </row>
    <row r="73" ht="22" customHeight="1">
      <c r="A73" s="57" t="n"/>
      <c r="B73" s="7" t="n"/>
      <c r="C73" s="58" t="n"/>
      <c r="D73" s="7" t="n"/>
      <c r="E73" s="65" t="n"/>
      <c r="F73" s="7" t="n"/>
      <c r="G73" s="7" t="n"/>
      <c r="H73" s="7" t="n"/>
      <c r="I73" s="7" t="n"/>
      <c r="J73" s="7" t="n"/>
      <c r="K73" s="106">
        <f>IF(OR(E73="", F73=""), "", E73*F73)</f>
        <v/>
      </c>
      <c r="L73" s="58" t="n"/>
      <c r="N73" s="108" t="n">
        <v>46434</v>
      </c>
      <c r="O73" s="109" t="inlineStr">
        <is>
          <t>Lower A</t>
        </is>
      </c>
      <c r="P73" s="112">
        <f>COUNTIFS($A$4:$A$1500, N73, $I$4:$I$1500, "Đạt")</f>
        <v/>
      </c>
      <c r="Q73" s="110">
        <f>SUMIFS($K$4:$K$1500, $A$4:$A$1500, N73)</f>
        <v/>
      </c>
      <c r="R73" s="113">
        <f>IF(P73=0, "CHƯA TẬP", IF(P73&gt;=10, "Hoàn thành đầy đủ", "Hoàn thành 1 phần"))</f>
        <v/>
      </c>
    </row>
    <row r="74" ht="22" customHeight="1">
      <c r="A74" s="57" t="n"/>
      <c r="B74" s="7" t="n"/>
      <c r="C74" s="58" t="n"/>
      <c r="D74" s="7" t="n"/>
      <c r="E74" s="65" t="n"/>
      <c r="F74" s="7" t="n"/>
      <c r="G74" s="7" t="n"/>
      <c r="H74" s="7" t="n"/>
      <c r="I74" s="7" t="n"/>
      <c r="J74" s="7" t="n"/>
      <c r="K74" s="106">
        <f>IF(OR(E74="", F74=""), "", E74*F74)</f>
        <v/>
      </c>
      <c r="L74" s="58" t="n"/>
      <c r="N74" s="108" t="n">
        <v>46436</v>
      </c>
      <c r="O74" s="109" t="inlineStr">
        <is>
          <t>Upper B</t>
        </is>
      </c>
      <c r="P74" s="112">
        <f>COUNTIFS($A$4:$A$1500, N74, $I$4:$I$1500, "Đạt")</f>
        <v/>
      </c>
      <c r="Q74" s="110">
        <f>SUMIFS($K$4:$K$1500, $A$4:$A$1500, N74)</f>
        <v/>
      </c>
      <c r="R74" s="113">
        <f>IF(P74=0, "CHƯA TẬP", IF(P74&gt;=10, "Hoàn thành đầy đủ", "Hoàn thành 1 phần"))</f>
        <v/>
      </c>
    </row>
    <row r="75" ht="22" customHeight="1">
      <c r="A75" s="57" t="n"/>
      <c r="B75" s="7" t="n"/>
      <c r="C75" s="58" t="n"/>
      <c r="D75" s="7" t="n"/>
      <c r="E75" s="65" t="n"/>
      <c r="F75" s="7" t="n"/>
      <c r="G75" s="7" t="n"/>
      <c r="H75" s="7" t="n"/>
      <c r="I75" s="7" t="n"/>
      <c r="J75" s="7" t="n"/>
      <c r="K75" s="106">
        <f>IF(OR(E75="", F75=""), "", E75*F75)</f>
        <v/>
      </c>
      <c r="L75" s="58" t="n"/>
      <c r="N75" s="108" t="n">
        <v>46437</v>
      </c>
      <c r="O75" s="109" t="inlineStr">
        <is>
          <t>Lower B</t>
        </is>
      </c>
      <c r="P75" s="112">
        <f>COUNTIFS($A$4:$A$1500, N75, $I$4:$I$1500, "Đạt")</f>
        <v/>
      </c>
      <c r="Q75" s="110">
        <f>SUMIFS($K$4:$K$1500, $A$4:$A$1500, N75)</f>
        <v/>
      </c>
      <c r="R75" s="113">
        <f>IF(P75=0, "CHƯA TẬP", IF(P75&gt;=10, "Hoàn thành đầy đủ", "Hoàn thành 1 phần"))</f>
        <v/>
      </c>
    </row>
    <row r="76" ht="22" customHeight="1">
      <c r="A76" s="57" t="n"/>
      <c r="B76" s="7" t="n"/>
      <c r="C76" s="58" t="n"/>
      <c r="D76" s="7" t="n"/>
      <c r="E76" s="65" t="n"/>
      <c r="F76" s="7" t="n"/>
      <c r="G76" s="7" t="n"/>
      <c r="H76" s="7" t="n"/>
      <c r="I76" s="7" t="n"/>
      <c r="J76" s="7" t="n"/>
      <c r="K76" s="106">
        <f>IF(OR(E76="", F76=""), "", E76*F76)</f>
        <v/>
      </c>
      <c r="L76" s="58" t="n"/>
      <c r="N76" s="108" t="n">
        <v>46440</v>
      </c>
      <c r="O76" s="109" t="inlineStr">
        <is>
          <t>Upper A</t>
        </is>
      </c>
      <c r="P76" s="112">
        <f>COUNTIFS($A$4:$A$1500, N76, $I$4:$I$1500, "Đạt")</f>
        <v/>
      </c>
      <c r="Q76" s="110">
        <f>SUMIFS($K$4:$K$1500, $A$4:$A$1500, N76)</f>
        <v/>
      </c>
      <c r="R76" s="113">
        <f>IF(P76=0, "CHƯA TẬP", IF(P76&gt;=10, "Hoàn thành đầy đủ", "Hoàn thành 1 phần"))</f>
        <v/>
      </c>
    </row>
    <row r="77" ht="22" customHeight="1">
      <c r="A77" s="57" t="n"/>
      <c r="B77" s="7" t="n"/>
      <c r="C77" s="58" t="n"/>
      <c r="D77" s="7" t="n"/>
      <c r="E77" s="65" t="n"/>
      <c r="F77" s="7" t="n"/>
      <c r="G77" s="7" t="n"/>
      <c r="H77" s="7" t="n"/>
      <c r="I77" s="7" t="n"/>
      <c r="J77" s="7" t="n"/>
      <c r="K77" s="106">
        <f>IF(OR(E77="", F77=""), "", E77*F77)</f>
        <v/>
      </c>
      <c r="L77" s="58" t="n"/>
      <c r="N77" s="108" t="n">
        <v>46441</v>
      </c>
      <c r="O77" s="109" t="inlineStr">
        <is>
          <t>Lower A</t>
        </is>
      </c>
      <c r="P77" s="112">
        <f>COUNTIFS($A$4:$A$1500, N77, $I$4:$I$1500, "Đạt")</f>
        <v/>
      </c>
      <c r="Q77" s="110">
        <f>SUMIFS($K$4:$K$1500, $A$4:$A$1500, N77)</f>
        <v/>
      </c>
      <c r="R77" s="113">
        <f>IF(P77=0, "CHƯA TẬP", IF(P77&gt;=10, "Hoàn thành đầy đủ", "Hoàn thành 1 phần"))</f>
        <v/>
      </c>
    </row>
    <row r="78" ht="22" customHeight="1">
      <c r="A78" s="57" t="n"/>
      <c r="B78" s="7" t="n"/>
      <c r="C78" s="58" t="n"/>
      <c r="D78" s="7" t="n"/>
      <c r="E78" s="65" t="n"/>
      <c r="F78" s="7" t="n"/>
      <c r="G78" s="7" t="n"/>
      <c r="H78" s="7" t="n"/>
      <c r="I78" s="7" t="n"/>
      <c r="J78" s="7" t="n"/>
      <c r="K78" s="106">
        <f>IF(OR(E78="", F78=""), "", E78*F78)</f>
        <v/>
      </c>
      <c r="L78" s="58" t="n"/>
      <c r="N78" s="108" t="n">
        <v>46443</v>
      </c>
      <c r="O78" s="109" t="inlineStr">
        <is>
          <t>Upper B</t>
        </is>
      </c>
      <c r="P78" s="112">
        <f>COUNTIFS($A$4:$A$1500, N78, $I$4:$I$1500, "Đạt")</f>
        <v/>
      </c>
      <c r="Q78" s="110">
        <f>SUMIFS($K$4:$K$1500, $A$4:$A$1500, N78)</f>
        <v/>
      </c>
      <c r="R78" s="113">
        <f>IF(P78=0, "CHƯA TẬP", IF(P78&gt;=10, "Hoàn thành đầy đủ", "Hoàn thành 1 phần"))</f>
        <v/>
      </c>
    </row>
    <row r="79" ht="22" customHeight="1">
      <c r="A79" s="57" t="n"/>
      <c r="B79" s="7" t="n"/>
      <c r="C79" s="58" t="n"/>
      <c r="D79" s="7" t="n"/>
      <c r="E79" s="65" t="n"/>
      <c r="F79" s="7" t="n"/>
      <c r="G79" s="7" t="n"/>
      <c r="H79" s="7" t="n"/>
      <c r="I79" s="7" t="n"/>
      <c r="J79" s="7" t="n"/>
      <c r="K79" s="106">
        <f>IF(OR(E79="", F79=""), "", E79*F79)</f>
        <v/>
      </c>
      <c r="L79" s="58" t="n"/>
      <c r="N79" s="108" t="n">
        <v>46444</v>
      </c>
      <c r="O79" s="109" t="inlineStr">
        <is>
          <t>Lower B</t>
        </is>
      </c>
      <c r="P79" s="112">
        <f>COUNTIFS($A$4:$A$1500, N79, $I$4:$I$1500, "Đạt")</f>
        <v/>
      </c>
      <c r="Q79" s="110">
        <f>SUMIFS($K$4:$K$1500, $A$4:$A$1500, N79)</f>
        <v/>
      </c>
      <c r="R79" s="113">
        <f>IF(P79=0, "CHƯA TẬP", IF(P79&gt;=10, "Hoàn thành đầy đủ", "Hoàn thành 1 phần"))</f>
        <v/>
      </c>
    </row>
    <row r="80" ht="22" customHeight="1">
      <c r="A80" s="57" t="n"/>
      <c r="B80" s="7" t="n"/>
      <c r="C80" s="58" t="n"/>
      <c r="D80" s="7" t="n"/>
      <c r="E80" s="65" t="n"/>
      <c r="F80" s="7" t="n"/>
      <c r="G80" s="7" t="n"/>
      <c r="H80" s="7" t="n"/>
      <c r="I80" s="7" t="n"/>
      <c r="J80" s="7" t="n"/>
      <c r="K80" s="106">
        <f>IF(OR(E80="", F80=""), "", E80*F80)</f>
        <v/>
      </c>
      <c r="L80" s="58" t="n"/>
      <c r="N80" s="108" t="n">
        <v>46447</v>
      </c>
      <c r="O80" s="109" t="inlineStr">
        <is>
          <t>Upper A</t>
        </is>
      </c>
      <c r="P80" s="112">
        <f>COUNTIFS($A$4:$A$1500, N80, $I$4:$I$1500, "Đạt")</f>
        <v/>
      </c>
      <c r="Q80" s="110">
        <f>SUMIFS($K$4:$K$1500, $A$4:$A$1500, N80)</f>
        <v/>
      </c>
      <c r="R80" s="113">
        <f>IF(P80=0, "CHƯA TẬP", IF(P80&gt;=10, "Hoàn thành đầy đủ", "Hoàn thành 1 phần"))</f>
        <v/>
      </c>
    </row>
    <row r="81" ht="22" customHeight="1">
      <c r="A81" s="57" t="n"/>
      <c r="B81" s="7" t="n"/>
      <c r="C81" s="58" t="n"/>
      <c r="D81" s="7" t="n"/>
      <c r="E81" s="65" t="n"/>
      <c r="F81" s="7" t="n"/>
      <c r="G81" s="7" t="n"/>
      <c r="H81" s="7" t="n"/>
      <c r="I81" s="7" t="n"/>
      <c r="J81" s="7" t="n"/>
      <c r="K81" s="106">
        <f>IF(OR(E81="", F81=""), "", E81*F81)</f>
        <v/>
      </c>
      <c r="L81" s="58" t="n"/>
      <c r="N81" s="108" t="n">
        <v>46448</v>
      </c>
      <c r="O81" s="109" t="inlineStr">
        <is>
          <t>Lower A</t>
        </is>
      </c>
      <c r="P81" s="112">
        <f>COUNTIFS($A$4:$A$1500, N81, $I$4:$I$1500, "Đạt")</f>
        <v/>
      </c>
      <c r="Q81" s="110">
        <f>SUMIFS($K$4:$K$1500, $A$4:$A$1500, N81)</f>
        <v/>
      </c>
      <c r="R81" s="113">
        <f>IF(P81=0, "CHƯA TẬP", IF(P81&gt;=10, "Hoàn thành đầy đủ", "Hoàn thành 1 phần"))</f>
        <v/>
      </c>
    </row>
    <row r="82" ht="22" customHeight="1">
      <c r="A82" s="57" t="n"/>
      <c r="B82" s="7" t="n"/>
      <c r="C82" s="58" t="n"/>
      <c r="D82" s="7" t="n"/>
      <c r="E82" s="65" t="n"/>
      <c r="F82" s="7" t="n"/>
      <c r="G82" s="7" t="n"/>
      <c r="H82" s="7" t="n"/>
      <c r="I82" s="7" t="n"/>
      <c r="J82" s="7" t="n"/>
      <c r="K82" s="106">
        <f>IF(OR(E82="", F82=""), "", E82*F82)</f>
        <v/>
      </c>
      <c r="L82" s="58" t="n"/>
      <c r="N82" s="108" t="n">
        <v>46450</v>
      </c>
      <c r="O82" s="109" t="inlineStr">
        <is>
          <t>Upper B</t>
        </is>
      </c>
      <c r="P82" s="112">
        <f>COUNTIFS($A$4:$A$1500, N82, $I$4:$I$1500, "Đạt")</f>
        <v/>
      </c>
      <c r="Q82" s="110">
        <f>SUMIFS($K$4:$K$1500, $A$4:$A$1500, N82)</f>
        <v/>
      </c>
      <c r="R82" s="113">
        <f>IF(P82=0, "CHƯA TẬP", IF(P82&gt;=10, "Hoàn thành đầy đủ", "Hoàn thành 1 phần"))</f>
        <v/>
      </c>
    </row>
    <row r="83" ht="22" customHeight="1">
      <c r="A83" s="57" t="n"/>
      <c r="B83" s="7" t="n"/>
      <c r="C83" s="58" t="n"/>
      <c r="D83" s="7" t="n"/>
      <c r="E83" s="65" t="n"/>
      <c r="F83" s="7" t="n"/>
      <c r="G83" s="7" t="n"/>
      <c r="H83" s="7" t="n"/>
      <c r="I83" s="7" t="n"/>
      <c r="J83" s="7" t="n"/>
      <c r="K83" s="106">
        <f>IF(OR(E83="", F83=""), "", E83*F83)</f>
        <v/>
      </c>
      <c r="L83" s="58" t="n"/>
      <c r="N83" s="108" t="n">
        <v>46451</v>
      </c>
      <c r="O83" s="109" t="inlineStr">
        <is>
          <t>Lower B</t>
        </is>
      </c>
      <c r="P83" s="112">
        <f>COUNTIFS($A$4:$A$1500, N83, $I$4:$I$1500, "Đạt")</f>
        <v/>
      </c>
      <c r="Q83" s="110">
        <f>SUMIFS($K$4:$K$1500, $A$4:$A$1500, N83)</f>
        <v/>
      </c>
      <c r="R83" s="113">
        <f>IF(P83=0, "CHƯA TẬP", IF(P83&gt;=10, "Hoàn thành đầy đủ", "Hoàn thành 1 phần"))</f>
        <v/>
      </c>
    </row>
    <row r="84" ht="22" customHeight="1">
      <c r="A84" s="57" t="n"/>
      <c r="B84" s="7" t="n"/>
      <c r="C84" s="58" t="n"/>
      <c r="D84" s="7" t="n"/>
      <c r="E84" s="65" t="n"/>
      <c r="F84" s="7" t="n"/>
      <c r="G84" s="7" t="n"/>
      <c r="H84" s="7" t="n"/>
      <c r="I84" s="7" t="n"/>
      <c r="J84" s="7" t="n"/>
      <c r="K84" s="106">
        <f>IF(OR(E84="", F84=""), "", E84*F84)</f>
        <v/>
      </c>
      <c r="L84" s="58" t="n"/>
      <c r="N84" s="108" t="n">
        <v>46454</v>
      </c>
      <c r="O84" s="109" t="inlineStr">
        <is>
          <t>Upper A</t>
        </is>
      </c>
      <c r="P84" s="112">
        <f>COUNTIFS($A$4:$A$1500, N84, $I$4:$I$1500, "Đạt")</f>
        <v/>
      </c>
      <c r="Q84" s="110">
        <f>SUMIFS($K$4:$K$1500, $A$4:$A$1500, N84)</f>
        <v/>
      </c>
      <c r="R84" s="113">
        <f>IF(P84=0, "CHƯA TẬP", IF(P84&gt;=10, "Hoàn thành đầy đủ", "Hoàn thành 1 phần"))</f>
        <v/>
      </c>
    </row>
    <row r="85" ht="22" customHeight="1">
      <c r="A85" s="57" t="n"/>
      <c r="B85" s="7" t="n"/>
      <c r="C85" s="58" t="n"/>
      <c r="D85" s="7" t="n"/>
      <c r="E85" s="65" t="n"/>
      <c r="F85" s="7" t="n"/>
      <c r="G85" s="7" t="n"/>
      <c r="H85" s="7" t="n"/>
      <c r="I85" s="7" t="n"/>
      <c r="J85" s="7" t="n"/>
      <c r="K85" s="106">
        <f>IF(OR(E85="", F85=""), "", E85*F85)</f>
        <v/>
      </c>
      <c r="L85" s="58" t="n"/>
      <c r="N85" s="108" t="n">
        <v>46455</v>
      </c>
      <c r="O85" s="109" t="inlineStr">
        <is>
          <t>Lower A</t>
        </is>
      </c>
      <c r="P85" s="112">
        <f>COUNTIFS($A$4:$A$1500, N85, $I$4:$I$1500, "Đạt")</f>
        <v/>
      </c>
      <c r="Q85" s="110">
        <f>SUMIFS($K$4:$K$1500, $A$4:$A$1500, N85)</f>
        <v/>
      </c>
      <c r="R85" s="113">
        <f>IF(P85=0, "CHƯA TẬP", IF(P85&gt;=10, "Hoàn thành đầy đủ", "Hoàn thành 1 phần"))</f>
        <v/>
      </c>
    </row>
    <row r="86" ht="22" customHeight="1">
      <c r="A86" s="57" t="n"/>
      <c r="B86" s="7" t="n"/>
      <c r="C86" s="58" t="n"/>
      <c r="D86" s="7" t="n"/>
      <c r="E86" s="65" t="n"/>
      <c r="F86" s="7" t="n"/>
      <c r="G86" s="7" t="n"/>
      <c r="H86" s="7" t="n"/>
      <c r="I86" s="7" t="n"/>
      <c r="J86" s="7" t="n"/>
      <c r="K86" s="106">
        <f>IF(OR(E86="", F86=""), "", E86*F86)</f>
        <v/>
      </c>
      <c r="L86" s="58" t="n"/>
      <c r="N86" s="108" t="n">
        <v>46457</v>
      </c>
      <c r="O86" s="109" t="inlineStr">
        <is>
          <t>Upper B</t>
        </is>
      </c>
      <c r="P86" s="112">
        <f>COUNTIFS($A$4:$A$1500, N86, $I$4:$I$1500, "Đạt")</f>
        <v/>
      </c>
      <c r="Q86" s="110">
        <f>SUMIFS($K$4:$K$1500, $A$4:$A$1500, N86)</f>
        <v/>
      </c>
      <c r="R86" s="113">
        <f>IF(P86=0, "CHƯA TẬP", IF(P86&gt;=10, "Hoàn thành đầy đủ", "Hoàn thành 1 phần"))</f>
        <v/>
      </c>
    </row>
    <row r="87" ht="22" customHeight="1">
      <c r="A87" s="57" t="n"/>
      <c r="B87" s="7" t="n"/>
      <c r="C87" s="58" t="n"/>
      <c r="D87" s="7" t="n"/>
      <c r="E87" s="65" t="n"/>
      <c r="F87" s="7" t="n"/>
      <c r="G87" s="7" t="n"/>
      <c r="H87" s="7" t="n"/>
      <c r="I87" s="7" t="n"/>
      <c r="J87" s="7" t="n"/>
      <c r="K87" s="106">
        <f>IF(OR(E87="", F87=""), "", E87*F87)</f>
        <v/>
      </c>
      <c r="L87" s="58" t="n"/>
      <c r="N87" s="108" t="n">
        <v>46458</v>
      </c>
      <c r="O87" s="109" t="inlineStr">
        <is>
          <t>Lower B</t>
        </is>
      </c>
      <c r="P87" s="112">
        <f>COUNTIFS($A$4:$A$1500, N87, $I$4:$I$1500, "Đạt")</f>
        <v/>
      </c>
      <c r="Q87" s="110">
        <f>SUMIFS($K$4:$K$1500, $A$4:$A$1500, N87)</f>
        <v/>
      </c>
      <c r="R87" s="113">
        <f>IF(P87=0, "CHƯA TẬP", IF(P87&gt;=10, "Hoàn thành đầy đủ", "Hoàn thành 1 phần"))</f>
        <v/>
      </c>
    </row>
    <row r="88" ht="22" customHeight="1">
      <c r="A88" s="57" t="n"/>
      <c r="B88" s="7" t="n"/>
      <c r="C88" s="58" t="n"/>
      <c r="D88" s="7" t="n"/>
      <c r="E88" s="65" t="n"/>
      <c r="F88" s="7" t="n"/>
      <c r="G88" s="7" t="n"/>
      <c r="H88" s="7" t="n"/>
      <c r="I88" s="7" t="n"/>
      <c r="J88" s="7" t="n"/>
      <c r="K88" s="106">
        <f>IF(OR(E88="", F88=""), "", E88*F88)</f>
        <v/>
      </c>
      <c r="L88" s="58" t="n"/>
      <c r="N88" s="108" t="n">
        <v>46461</v>
      </c>
      <c r="O88" s="109" t="inlineStr">
        <is>
          <t>Upper A</t>
        </is>
      </c>
      <c r="P88" s="112">
        <f>COUNTIFS($A$4:$A$1500, N88, $I$4:$I$1500, "Đạt")</f>
        <v/>
      </c>
      <c r="Q88" s="110">
        <f>SUMIFS($K$4:$K$1500, $A$4:$A$1500, N88)</f>
        <v/>
      </c>
      <c r="R88" s="113">
        <f>IF(P88=0, "CHƯA TẬP", IF(P88&gt;=10, "Hoàn thành đầy đủ", "Hoàn thành 1 phần"))</f>
        <v/>
      </c>
    </row>
    <row r="89" ht="22" customHeight="1">
      <c r="A89" s="57" t="n"/>
      <c r="B89" s="7" t="n"/>
      <c r="C89" s="58" t="n"/>
      <c r="D89" s="7" t="n"/>
      <c r="E89" s="65" t="n"/>
      <c r="F89" s="7" t="n"/>
      <c r="G89" s="7" t="n"/>
      <c r="H89" s="7" t="n"/>
      <c r="I89" s="7" t="n"/>
      <c r="J89" s="7" t="n"/>
      <c r="K89" s="106">
        <f>IF(OR(E89="", F89=""), "", E89*F89)</f>
        <v/>
      </c>
      <c r="L89" s="58" t="n"/>
      <c r="N89" s="108" t="n">
        <v>46462</v>
      </c>
      <c r="O89" s="109" t="inlineStr">
        <is>
          <t>Lower A</t>
        </is>
      </c>
      <c r="P89" s="112">
        <f>COUNTIFS($A$4:$A$1500, N89, $I$4:$I$1500, "Đạt")</f>
        <v/>
      </c>
      <c r="Q89" s="110">
        <f>SUMIFS($K$4:$K$1500, $A$4:$A$1500, N89)</f>
        <v/>
      </c>
      <c r="R89" s="113">
        <f>IF(P89=0, "CHƯA TẬP", IF(P89&gt;=10, "Hoàn thành đầy đủ", "Hoàn thành 1 phần"))</f>
        <v/>
      </c>
    </row>
    <row r="90" ht="22" customHeight="1">
      <c r="A90" s="57" t="n"/>
      <c r="B90" s="7" t="n"/>
      <c r="C90" s="58" t="n"/>
      <c r="D90" s="7" t="n"/>
      <c r="E90" s="65" t="n"/>
      <c r="F90" s="7" t="n"/>
      <c r="G90" s="7" t="n"/>
      <c r="H90" s="7" t="n"/>
      <c r="I90" s="7" t="n"/>
      <c r="J90" s="7" t="n"/>
      <c r="K90" s="106">
        <f>IF(OR(E90="", F90=""), "", E90*F90)</f>
        <v/>
      </c>
      <c r="L90" s="58" t="n"/>
      <c r="N90" s="108" t="n">
        <v>46464</v>
      </c>
      <c r="O90" s="109" t="inlineStr">
        <is>
          <t>Upper B</t>
        </is>
      </c>
      <c r="P90" s="112">
        <f>COUNTIFS($A$4:$A$1500, N90, $I$4:$I$1500, "Đạt")</f>
        <v/>
      </c>
      <c r="Q90" s="110">
        <f>SUMIFS($K$4:$K$1500, $A$4:$A$1500, N90)</f>
        <v/>
      </c>
      <c r="R90" s="113">
        <f>IF(P90=0, "CHƯA TẬP", IF(P90&gt;=10, "Hoàn thành đầy đủ", "Hoàn thành 1 phần"))</f>
        <v/>
      </c>
    </row>
    <row r="91" ht="22" customHeight="1">
      <c r="A91" s="57" t="n"/>
      <c r="B91" s="7" t="n"/>
      <c r="C91" s="58" t="n"/>
      <c r="D91" s="7" t="n"/>
      <c r="E91" s="65" t="n"/>
      <c r="F91" s="7" t="n"/>
      <c r="G91" s="7" t="n"/>
      <c r="H91" s="7" t="n"/>
      <c r="I91" s="7" t="n"/>
      <c r="J91" s="7" t="n"/>
      <c r="K91" s="106">
        <f>IF(OR(E91="", F91=""), "", E91*F91)</f>
        <v/>
      </c>
      <c r="L91" s="58" t="n"/>
      <c r="N91" s="108" t="n">
        <v>46465</v>
      </c>
      <c r="O91" s="109" t="inlineStr">
        <is>
          <t>Lower B</t>
        </is>
      </c>
      <c r="P91" s="112">
        <f>COUNTIFS($A$4:$A$1500, N91, $I$4:$I$1500, "Đạt")</f>
        <v/>
      </c>
      <c r="Q91" s="110">
        <f>SUMIFS($K$4:$K$1500, $A$4:$A$1500, N91)</f>
        <v/>
      </c>
      <c r="R91" s="113">
        <f>IF(P91=0, "CHƯA TẬP", IF(P91&gt;=10, "Hoàn thành đầy đủ", "Hoàn thành 1 phần"))</f>
        <v/>
      </c>
    </row>
    <row r="92" ht="22" customHeight="1">
      <c r="A92" s="57" t="n"/>
      <c r="B92" s="7" t="n"/>
      <c r="C92" s="58" t="n"/>
      <c r="D92" s="7" t="n"/>
      <c r="E92" s="65" t="n"/>
      <c r="F92" s="7" t="n"/>
      <c r="G92" s="7" t="n"/>
      <c r="H92" s="7" t="n"/>
      <c r="I92" s="7" t="n"/>
      <c r="J92" s="7" t="n"/>
      <c r="K92" s="106">
        <f>IF(OR(E92="", F92=""), "", E92*F92)</f>
        <v/>
      </c>
      <c r="L92" s="58" t="n"/>
      <c r="N92" s="108" t="n">
        <v>46468</v>
      </c>
      <c r="O92" s="109" t="inlineStr">
        <is>
          <t>Upper A</t>
        </is>
      </c>
      <c r="P92" s="112">
        <f>COUNTIFS($A$4:$A$1500, N92, $I$4:$I$1500, "Đạt")</f>
        <v/>
      </c>
      <c r="Q92" s="110">
        <f>SUMIFS($K$4:$K$1500, $A$4:$A$1500, N92)</f>
        <v/>
      </c>
      <c r="R92" s="113">
        <f>IF(P92=0, "CHƯA TẬP", IF(P92&gt;=10, "Hoàn thành đầy đủ", "Hoàn thành 1 phần"))</f>
        <v/>
      </c>
    </row>
    <row r="93" ht="22" customHeight="1">
      <c r="A93" s="57" t="n"/>
      <c r="B93" s="7" t="n"/>
      <c r="C93" s="58" t="n"/>
      <c r="D93" s="7" t="n"/>
      <c r="E93" s="65" t="n"/>
      <c r="F93" s="7" t="n"/>
      <c r="G93" s="7" t="n"/>
      <c r="H93" s="7" t="n"/>
      <c r="I93" s="7" t="n"/>
      <c r="J93" s="7" t="n"/>
      <c r="K93" s="106">
        <f>IF(OR(E93="", F93=""), "", E93*F93)</f>
        <v/>
      </c>
      <c r="L93" s="58" t="n"/>
      <c r="N93" s="108" t="n">
        <v>46469</v>
      </c>
      <c r="O93" s="109" t="inlineStr">
        <is>
          <t>Lower A</t>
        </is>
      </c>
      <c r="P93" s="112">
        <f>COUNTIFS($A$4:$A$1500, N93, $I$4:$I$1500, "Đạt")</f>
        <v/>
      </c>
      <c r="Q93" s="110">
        <f>SUMIFS($K$4:$K$1500, $A$4:$A$1500, N93)</f>
        <v/>
      </c>
      <c r="R93" s="113">
        <f>IF(P93=0, "CHƯA TẬP", IF(P93&gt;=10, "Hoàn thành đầy đủ", "Hoàn thành 1 phần"))</f>
        <v/>
      </c>
    </row>
    <row r="94" ht="22" customHeight="1">
      <c r="A94" s="57" t="n"/>
      <c r="B94" s="7" t="n"/>
      <c r="C94" s="58" t="n"/>
      <c r="D94" s="7" t="n"/>
      <c r="E94" s="65" t="n"/>
      <c r="F94" s="7" t="n"/>
      <c r="G94" s="7" t="n"/>
      <c r="H94" s="7" t="n"/>
      <c r="I94" s="7" t="n"/>
      <c r="J94" s="7" t="n"/>
      <c r="K94" s="106">
        <f>IF(OR(E94="", F94=""), "", E94*F94)</f>
        <v/>
      </c>
      <c r="L94" s="58" t="n"/>
      <c r="N94" s="108" t="n">
        <v>46471</v>
      </c>
      <c r="O94" s="109" t="inlineStr">
        <is>
          <t>Upper B</t>
        </is>
      </c>
      <c r="P94" s="112">
        <f>COUNTIFS($A$4:$A$1500, N94, $I$4:$I$1500, "Đạt")</f>
        <v/>
      </c>
      <c r="Q94" s="110">
        <f>SUMIFS($K$4:$K$1500, $A$4:$A$1500, N94)</f>
        <v/>
      </c>
      <c r="R94" s="113">
        <f>IF(P94=0, "CHƯA TẬP", IF(P94&gt;=10, "Hoàn thành đầy đủ", "Hoàn thành 1 phần"))</f>
        <v/>
      </c>
    </row>
    <row r="95" ht="22" customHeight="1">
      <c r="A95" s="57" t="n"/>
      <c r="B95" s="7" t="n"/>
      <c r="C95" s="58" t="n"/>
      <c r="D95" s="7" t="n"/>
      <c r="E95" s="65" t="n"/>
      <c r="F95" s="7" t="n"/>
      <c r="G95" s="7" t="n"/>
      <c r="H95" s="7" t="n"/>
      <c r="I95" s="7" t="n"/>
      <c r="J95" s="7" t="n"/>
      <c r="K95" s="106">
        <f>IF(OR(E95="", F95=""), "", E95*F95)</f>
        <v/>
      </c>
      <c r="L95" s="58" t="n"/>
      <c r="N95" s="108" t="n">
        <v>46472</v>
      </c>
      <c r="O95" s="109" t="inlineStr">
        <is>
          <t>Lower B</t>
        </is>
      </c>
      <c r="P95" s="112">
        <f>COUNTIFS($A$4:$A$1500, N95, $I$4:$I$1500, "Đạt")</f>
        <v/>
      </c>
      <c r="Q95" s="110">
        <f>SUMIFS($K$4:$K$1500, $A$4:$A$1500, N95)</f>
        <v/>
      </c>
      <c r="R95" s="113">
        <f>IF(P95=0, "CHƯA TẬP", IF(P95&gt;=10, "Hoàn thành đầy đủ", "Hoàn thành 1 phần"))</f>
        <v/>
      </c>
    </row>
    <row r="96" ht="22" customHeight="1">
      <c r="A96" s="57" t="n"/>
      <c r="B96" s="7" t="n"/>
      <c r="C96" s="58" t="n"/>
      <c r="D96" s="7" t="n"/>
      <c r="E96" s="65" t="n"/>
      <c r="F96" s="7" t="n"/>
      <c r="G96" s="7" t="n"/>
      <c r="H96" s="7" t="n"/>
      <c r="I96" s="7" t="n"/>
      <c r="J96" s="7" t="n"/>
      <c r="K96" s="106">
        <f>IF(OR(E96="", F96=""), "", E96*F96)</f>
        <v/>
      </c>
      <c r="L96" s="58" t="n"/>
      <c r="N96" s="108" t="n">
        <v>46475</v>
      </c>
      <c r="O96" s="109" t="inlineStr">
        <is>
          <t>Upper A</t>
        </is>
      </c>
      <c r="P96" s="112">
        <f>COUNTIFS($A$4:$A$1500, N96, $I$4:$I$1500, "Đạt")</f>
        <v/>
      </c>
      <c r="Q96" s="110">
        <f>SUMIFS($K$4:$K$1500, $A$4:$A$1500, N96)</f>
        <v/>
      </c>
      <c r="R96" s="113">
        <f>IF(P96=0, "CHƯA TẬP", IF(P96&gt;=10, "Hoàn thành đầy đủ", "Hoàn thành 1 phần"))</f>
        <v/>
      </c>
    </row>
    <row r="97" ht="22" customHeight="1">
      <c r="A97" s="57" t="n"/>
      <c r="B97" s="7" t="n"/>
      <c r="C97" s="58" t="n"/>
      <c r="D97" s="7" t="n"/>
      <c r="E97" s="65" t="n"/>
      <c r="F97" s="7" t="n"/>
      <c r="G97" s="7" t="n"/>
      <c r="H97" s="7" t="n"/>
      <c r="I97" s="7" t="n"/>
      <c r="J97" s="7" t="n"/>
      <c r="K97" s="106">
        <f>IF(OR(E97="", F97=""), "", E97*F97)</f>
        <v/>
      </c>
      <c r="L97" s="58" t="n"/>
      <c r="N97" s="108" t="n">
        <v>46476</v>
      </c>
      <c r="O97" s="109" t="inlineStr">
        <is>
          <t>Lower A</t>
        </is>
      </c>
      <c r="P97" s="112">
        <f>COUNTIFS($A$4:$A$1500, N97, $I$4:$I$1500, "Đạt")</f>
        <v/>
      </c>
      <c r="Q97" s="110">
        <f>SUMIFS($K$4:$K$1500, $A$4:$A$1500, N97)</f>
        <v/>
      </c>
      <c r="R97" s="113">
        <f>IF(P97=0, "CHƯA TẬP", IF(P97&gt;=10, "Hoàn thành đầy đủ", "Hoàn thành 1 phần"))</f>
        <v/>
      </c>
    </row>
    <row r="98" ht="22" customHeight="1">
      <c r="A98" s="57" t="n"/>
      <c r="B98" s="7" t="n"/>
      <c r="C98" s="58" t="n"/>
      <c r="D98" s="7" t="n"/>
      <c r="E98" s="65" t="n"/>
      <c r="F98" s="7" t="n"/>
      <c r="G98" s="7" t="n"/>
      <c r="H98" s="7" t="n"/>
      <c r="I98" s="7" t="n"/>
      <c r="J98" s="7" t="n"/>
      <c r="K98" s="106">
        <f>IF(OR(E98="", F98=""), "", E98*F98)</f>
        <v/>
      </c>
      <c r="L98" s="58" t="n"/>
      <c r="N98" s="108" t="n">
        <v>46478</v>
      </c>
      <c r="O98" s="109" t="inlineStr">
        <is>
          <t>Upper B</t>
        </is>
      </c>
      <c r="P98" s="112">
        <f>COUNTIFS($A$4:$A$1500, N98, $I$4:$I$1500, "Đạt")</f>
        <v/>
      </c>
      <c r="Q98" s="110">
        <f>SUMIFS($K$4:$K$1500, $A$4:$A$1500, N98)</f>
        <v/>
      </c>
      <c r="R98" s="113">
        <f>IF(P98=0, "CHƯA TẬP", IF(P98&gt;=10, "Hoàn thành đầy đủ", "Hoàn thành 1 phần"))</f>
        <v/>
      </c>
    </row>
    <row r="99" ht="22" customHeight="1">
      <c r="A99" s="57" t="n"/>
      <c r="B99" s="7" t="n"/>
      <c r="C99" s="58" t="n"/>
      <c r="D99" s="7" t="n"/>
      <c r="E99" s="65" t="n"/>
      <c r="F99" s="7" t="n"/>
      <c r="G99" s="7" t="n"/>
      <c r="H99" s="7" t="n"/>
      <c r="I99" s="7" t="n"/>
      <c r="J99" s="7" t="n"/>
      <c r="K99" s="106">
        <f>IF(OR(E99="", F99=""), "", E99*F99)</f>
        <v/>
      </c>
      <c r="L99" s="58" t="n"/>
      <c r="N99" s="108" t="n">
        <v>46479</v>
      </c>
      <c r="O99" s="109" t="inlineStr">
        <is>
          <t>Lower B</t>
        </is>
      </c>
      <c r="P99" s="112">
        <f>COUNTIFS($A$4:$A$1500, N99, $I$4:$I$1500, "Đạt")</f>
        <v/>
      </c>
      <c r="Q99" s="110">
        <f>SUMIFS($K$4:$K$1500, $A$4:$A$1500, N99)</f>
        <v/>
      </c>
      <c r="R99" s="113">
        <f>IF(P99=0, "CHƯA TẬP", IF(P99&gt;=10, "Hoàn thành đầy đủ", "Hoàn thành 1 phần"))</f>
        <v/>
      </c>
    </row>
    <row r="100" ht="22" customHeight="1">
      <c r="A100" s="57" t="n"/>
      <c r="B100" s="7" t="n"/>
      <c r="C100" s="58" t="n"/>
      <c r="D100" s="7" t="n"/>
      <c r="E100" s="65" t="n"/>
      <c r="F100" s="7" t="n"/>
      <c r="G100" s="7" t="n"/>
      <c r="H100" s="7" t="n"/>
      <c r="I100" s="7" t="n"/>
      <c r="J100" s="7" t="n"/>
      <c r="K100" s="106">
        <f>IF(OR(E100="", F100=""), "", E100*F100)</f>
        <v/>
      </c>
      <c r="L100" s="58" t="n"/>
    </row>
    <row r="101" ht="22" customHeight="1">
      <c r="A101" s="57" t="n"/>
      <c r="B101" s="7" t="n"/>
      <c r="C101" s="58" t="n"/>
      <c r="D101" s="7" t="n"/>
      <c r="E101" s="65" t="n"/>
      <c r="F101" s="7" t="n"/>
      <c r="G101" s="7" t="n"/>
      <c r="H101" s="7" t="n"/>
      <c r="I101" s="7" t="n"/>
      <c r="J101" s="7" t="n"/>
      <c r="K101" s="106">
        <f>IF(OR(E101="", F101=""), "", E101*F101)</f>
        <v/>
      </c>
      <c r="L101" s="58" t="n"/>
    </row>
    <row r="102" ht="22" customHeight="1">
      <c r="A102" s="57" t="n"/>
      <c r="B102" s="7" t="n"/>
      <c r="C102" s="58" t="n"/>
      <c r="D102" s="7" t="n"/>
      <c r="E102" s="65" t="n"/>
      <c r="F102" s="7" t="n"/>
      <c r="G102" s="7" t="n"/>
      <c r="H102" s="7" t="n"/>
      <c r="I102" s="7" t="n"/>
      <c r="J102" s="7" t="n"/>
      <c r="K102" s="106">
        <f>IF(OR(E102="", F102=""), "", E102*F102)</f>
        <v/>
      </c>
      <c r="L102" s="58" t="n"/>
    </row>
    <row r="103" ht="22" customHeight="1">
      <c r="A103" s="57" t="n"/>
      <c r="B103" s="7" t="n"/>
      <c r="C103" s="58" t="n"/>
      <c r="D103" s="7" t="n"/>
      <c r="E103" s="65" t="n"/>
      <c r="F103" s="7" t="n"/>
      <c r="G103" s="7" t="n"/>
      <c r="H103" s="7" t="n"/>
      <c r="I103" s="7" t="n"/>
      <c r="J103" s="7" t="n"/>
      <c r="K103" s="106">
        <f>IF(OR(E103="", F103=""), "", E103*F103)</f>
        <v/>
      </c>
      <c r="L103" s="58" t="n"/>
    </row>
    <row r="104" ht="22" customHeight="1">
      <c r="A104" s="57" t="n"/>
      <c r="B104" s="7" t="n"/>
      <c r="C104" s="58" t="n"/>
      <c r="D104" s="7" t="n"/>
      <c r="E104" s="65" t="n"/>
      <c r="F104" s="7" t="n"/>
      <c r="G104" s="7" t="n"/>
      <c r="H104" s="7" t="n"/>
      <c r="I104" s="7" t="n"/>
      <c r="J104" s="7" t="n"/>
      <c r="K104" s="106">
        <f>IF(OR(E104="", F104=""), "", E104*F104)</f>
        <v/>
      </c>
      <c r="L104" s="58" t="n"/>
    </row>
    <row r="105" ht="22" customHeight="1">
      <c r="A105" s="57" t="n"/>
      <c r="B105" s="7" t="n"/>
      <c r="C105" s="58" t="n"/>
      <c r="D105" s="7" t="n"/>
      <c r="E105" s="65" t="n"/>
      <c r="F105" s="7" t="n"/>
      <c r="G105" s="7" t="n"/>
      <c r="H105" s="7" t="n"/>
      <c r="I105" s="7" t="n"/>
      <c r="J105" s="7" t="n"/>
      <c r="K105" s="106">
        <f>IF(OR(E105="", F105=""), "", E105*F105)</f>
        <v/>
      </c>
      <c r="L105" s="58" t="n"/>
    </row>
    <row r="106" ht="22" customHeight="1">
      <c r="A106" s="57" t="n"/>
      <c r="B106" s="7" t="n"/>
      <c r="C106" s="58" t="n"/>
      <c r="D106" s="7" t="n"/>
      <c r="E106" s="65" t="n"/>
      <c r="F106" s="7" t="n"/>
      <c r="G106" s="7" t="n"/>
      <c r="H106" s="7" t="n"/>
      <c r="I106" s="7" t="n"/>
      <c r="J106" s="7" t="n"/>
      <c r="K106" s="106">
        <f>IF(OR(E106="", F106=""), "", E106*F106)</f>
        <v/>
      </c>
      <c r="L106" s="58" t="n"/>
    </row>
    <row r="107" ht="22" customHeight="1">
      <c r="A107" s="57" t="n"/>
      <c r="B107" s="7" t="n"/>
      <c r="C107" s="58" t="n"/>
      <c r="D107" s="7" t="n"/>
      <c r="E107" s="65" t="n"/>
      <c r="F107" s="7" t="n"/>
      <c r="G107" s="7" t="n"/>
      <c r="H107" s="7" t="n"/>
      <c r="I107" s="7" t="n"/>
      <c r="J107" s="7" t="n"/>
      <c r="K107" s="106">
        <f>IF(OR(E107="", F107=""), "", E107*F107)</f>
        <v/>
      </c>
      <c r="L107" s="58" t="n"/>
    </row>
    <row r="108" ht="22" customHeight="1">
      <c r="A108" s="57" t="n"/>
      <c r="B108" s="7" t="n"/>
      <c r="C108" s="58" t="n"/>
      <c r="D108" s="7" t="n"/>
      <c r="E108" s="65" t="n"/>
      <c r="F108" s="7" t="n"/>
      <c r="G108" s="7" t="n"/>
      <c r="H108" s="7" t="n"/>
      <c r="I108" s="7" t="n"/>
      <c r="J108" s="7" t="n"/>
      <c r="K108" s="106">
        <f>IF(OR(E108="", F108=""), "", E108*F108)</f>
        <v/>
      </c>
      <c r="L108" s="58" t="n"/>
    </row>
    <row r="109" ht="22" customHeight="1">
      <c r="A109" s="57" t="n"/>
      <c r="B109" s="7" t="n"/>
      <c r="C109" s="58" t="n"/>
      <c r="D109" s="7" t="n"/>
      <c r="E109" s="65" t="n"/>
      <c r="F109" s="7" t="n"/>
      <c r="G109" s="7" t="n"/>
      <c r="H109" s="7" t="n"/>
      <c r="I109" s="7" t="n"/>
      <c r="J109" s="7" t="n"/>
      <c r="K109" s="106">
        <f>IF(OR(E109="", F109=""), "", E109*F109)</f>
        <v/>
      </c>
      <c r="L109" s="58" t="n"/>
    </row>
    <row r="110" ht="22" customHeight="1">
      <c r="A110" s="57" t="n"/>
      <c r="B110" s="7" t="n"/>
      <c r="C110" s="58" t="n"/>
      <c r="D110" s="7" t="n"/>
      <c r="E110" s="65" t="n"/>
      <c r="F110" s="7" t="n"/>
      <c r="G110" s="7" t="n"/>
      <c r="H110" s="7" t="n"/>
      <c r="I110" s="7" t="n"/>
      <c r="J110" s="7" t="n"/>
      <c r="K110" s="106">
        <f>IF(OR(E110="", F110=""), "", E110*F110)</f>
        <v/>
      </c>
      <c r="L110" s="58" t="n"/>
    </row>
    <row r="111" ht="22" customHeight="1">
      <c r="A111" s="57" t="n"/>
      <c r="B111" s="7" t="n"/>
      <c r="C111" s="58" t="n"/>
      <c r="D111" s="7" t="n"/>
      <c r="E111" s="65" t="n"/>
      <c r="F111" s="7" t="n"/>
      <c r="G111" s="7" t="n"/>
      <c r="H111" s="7" t="n"/>
      <c r="I111" s="7" t="n"/>
      <c r="J111" s="7" t="n"/>
      <c r="K111" s="106">
        <f>IF(OR(E111="", F111=""), "", E111*F111)</f>
        <v/>
      </c>
      <c r="L111" s="58" t="n"/>
    </row>
    <row r="112" ht="22" customHeight="1">
      <c r="A112" s="57" t="n"/>
      <c r="B112" s="7" t="n"/>
      <c r="C112" s="58" t="n"/>
      <c r="D112" s="7" t="n"/>
      <c r="E112" s="65" t="n"/>
      <c r="F112" s="7" t="n"/>
      <c r="G112" s="7" t="n"/>
      <c r="H112" s="7" t="n"/>
      <c r="I112" s="7" t="n"/>
      <c r="J112" s="7" t="n"/>
      <c r="K112" s="106">
        <f>IF(OR(E112="", F112=""), "", E112*F112)</f>
        <v/>
      </c>
      <c r="L112" s="58" t="n"/>
    </row>
    <row r="113" ht="22" customHeight="1">
      <c r="A113" s="57" t="n"/>
      <c r="B113" s="7" t="n"/>
      <c r="C113" s="58" t="n"/>
      <c r="D113" s="7" t="n"/>
      <c r="E113" s="65" t="n"/>
      <c r="F113" s="7" t="n"/>
      <c r="G113" s="7" t="n"/>
      <c r="H113" s="7" t="n"/>
      <c r="I113" s="7" t="n"/>
      <c r="J113" s="7" t="n"/>
      <c r="K113" s="106">
        <f>IF(OR(E113="", F113=""), "", E113*F113)</f>
        <v/>
      </c>
      <c r="L113" s="58" t="n"/>
    </row>
    <row r="114" ht="22" customHeight="1">
      <c r="A114" s="57" t="n"/>
      <c r="B114" s="7" t="n"/>
      <c r="C114" s="58" t="n"/>
      <c r="D114" s="7" t="n"/>
      <c r="E114" s="65" t="n"/>
      <c r="F114" s="7" t="n"/>
      <c r="G114" s="7" t="n"/>
      <c r="H114" s="7" t="n"/>
      <c r="I114" s="7" t="n"/>
      <c r="J114" s="7" t="n"/>
      <c r="K114" s="106">
        <f>IF(OR(E114="", F114=""), "", E114*F114)</f>
        <v/>
      </c>
      <c r="L114" s="58" t="n"/>
    </row>
    <row r="115" ht="22" customHeight="1">
      <c r="A115" s="57" t="n"/>
      <c r="B115" s="7" t="n"/>
      <c r="C115" s="58" t="n"/>
      <c r="D115" s="7" t="n"/>
      <c r="E115" s="65" t="n"/>
      <c r="F115" s="7" t="n"/>
      <c r="G115" s="7" t="n"/>
      <c r="H115" s="7" t="n"/>
      <c r="I115" s="7" t="n"/>
      <c r="J115" s="7" t="n"/>
      <c r="K115" s="106">
        <f>IF(OR(E115="", F115=""), "", E115*F115)</f>
        <v/>
      </c>
      <c r="L115" s="58" t="n"/>
    </row>
    <row r="116" ht="22" customHeight="1">
      <c r="A116" s="57" t="n"/>
      <c r="B116" s="7" t="n"/>
      <c r="C116" s="58" t="n"/>
      <c r="D116" s="7" t="n"/>
      <c r="E116" s="65" t="n"/>
      <c r="F116" s="7" t="n"/>
      <c r="G116" s="7" t="n"/>
      <c r="H116" s="7" t="n"/>
      <c r="I116" s="7" t="n"/>
      <c r="J116" s="7" t="n"/>
      <c r="K116" s="106">
        <f>IF(OR(E116="", F116=""), "", E116*F116)</f>
        <v/>
      </c>
      <c r="L116" s="58" t="n"/>
    </row>
    <row r="117" ht="22" customHeight="1">
      <c r="A117" s="57" t="n"/>
      <c r="B117" s="7" t="n"/>
      <c r="C117" s="58" t="n"/>
      <c r="D117" s="7" t="n"/>
      <c r="E117" s="65" t="n"/>
      <c r="F117" s="7" t="n"/>
      <c r="G117" s="7" t="n"/>
      <c r="H117" s="7" t="n"/>
      <c r="I117" s="7" t="n"/>
      <c r="J117" s="7" t="n"/>
      <c r="K117" s="106">
        <f>IF(OR(E117="", F117=""), "", E117*F117)</f>
        <v/>
      </c>
      <c r="L117" s="58" t="n"/>
    </row>
    <row r="118" ht="22" customHeight="1">
      <c r="A118" s="57" t="n"/>
      <c r="B118" s="7" t="n"/>
      <c r="C118" s="58" t="n"/>
      <c r="D118" s="7" t="n"/>
      <c r="E118" s="65" t="n"/>
      <c r="F118" s="7" t="n"/>
      <c r="G118" s="7" t="n"/>
      <c r="H118" s="7" t="n"/>
      <c r="I118" s="7" t="n"/>
      <c r="J118" s="7" t="n"/>
      <c r="K118" s="106">
        <f>IF(OR(E118="", F118=""), "", E118*F118)</f>
        <v/>
      </c>
      <c r="L118" s="58" t="n"/>
    </row>
    <row r="119" ht="22" customHeight="1">
      <c r="A119" s="57" t="n"/>
      <c r="B119" s="7" t="n"/>
      <c r="C119" s="58" t="n"/>
      <c r="D119" s="7" t="n"/>
      <c r="E119" s="65" t="n"/>
      <c r="F119" s="7" t="n"/>
      <c r="G119" s="7" t="n"/>
      <c r="H119" s="7" t="n"/>
      <c r="I119" s="7" t="n"/>
      <c r="J119" s="7" t="n"/>
      <c r="K119" s="106">
        <f>IF(OR(E119="", F119=""), "", E119*F119)</f>
        <v/>
      </c>
      <c r="L119" s="58" t="n"/>
    </row>
    <row r="120" ht="22" customHeight="1">
      <c r="A120" s="57" t="n"/>
      <c r="B120" s="7" t="n"/>
      <c r="C120" s="58" t="n"/>
      <c r="D120" s="7" t="n"/>
      <c r="E120" s="65" t="n"/>
      <c r="F120" s="7" t="n"/>
      <c r="G120" s="7" t="n"/>
      <c r="H120" s="7" t="n"/>
      <c r="I120" s="7" t="n"/>
      <c r="J120" s="7" t="n"/>
      <c r="K120" s="106">
        <f>IF(OR(E120="", F120=""), "", E120*F120)</f>
        <v/>
      </c>
      <c r="L120" s="58" t="n"/>
    </row>
    <row r="121" ht="22" customHeight="1">
      <c r="A121" s="57" t="n"/>
      <c r="B121" s="7" t="n"/>
      <c r="C121" s="58" t="n"/>
      <c r="D121" s="7" t="n"/>
      <c r="E121" s="65" t="n"/>
      <c r="F121" s="7" t="n"/>
      <c r="G121" s="7" t="n"/>
      <c r="H121" s="7" t="n"/>
      <c r="I121" s="7" t="n"/>
      <c r="J121" s="7" t="n"/>
      <c r="K121" s="106">
        <f>IF(OR(E121="", F121=""), "", E121*F121)</f>
        <v/>
      </c>
      <c r="L121" s="58" t="n"/>
    </row>
    <row r="122" ht="22" customHeight="1">
      <c r="A122" s="57" t="n"/>
      <c r="B122" s="7" t="n"/>
      <c r="C122" s="58" t="n"/>
      <c r="D122" s="7" t="n"/>
      <c r="E122" s="65" t="n"/>
      <c r="F122" s="7" t="n"/>
      <c r="G122" s="7" t="n"/>
      <c r="H122" s="7" t="n"/>
      <c r="I122" s="7" t="n"/>
      <c r="J122" s="7" t="n"/>
      <c r="K122" s="106">
        <f>IF(OR(E122="", F122=""), "", E122*F122)</f>
        <v/>
      </c>
      <c r="L122" s="58" t="n"/>
    </row>
    <row r="123" ht="22" customHeight="1">
      <c r="A123" s="57" t="n"/>
      <c r="B123" s="7" t="n"/>
      <c r="C123" s="58" t="n"/>
      <c r="D123" s="7" t="n"/>
      <c r="E123" s="65" t="n"/>
      <c r="F123" s="7" t="n"/>
      <c r="G123" s="7" t="n"/>
      <c r="H123" s="7" t="n"/>
      <c r="I123" s="7" t="n"/>
      <c r="J123" s="7" t="n"/>
      <c r="K123" s="106">
        <f>IF(OR(E123="", F123=""), "", E123*F123)</f>
        <v/>
      </c>
      <c r="L123" s="58" t="n"/>
    </row>
    <row r="124" ht="22" customHeight="1">
      <c r="A124" s="57" t="n"/>
      <c r="B124" s="7" t="n"/>
      <c r="C124" s="58" t="n"/>
      <c r="D124" s="7" t="n"/>
      <c r="E124" s="65" t="n"/>
      <c r="F124" s="7" t="n"/>
      <c r="G124" s="7" t="n"/>
      <c r="H124" s="7" t="n"/>
      <c r="I124" s="7" t="n"/>
      <c r="J124" s="7" t="n"/>
      <c r="K124" s="106">
        <f>IF(OR(E124="", F124=""), "", E124*F124)</f>
        <v/>
      </c>
      <c r="L124" s="58" t="n"/>
    </row>
    <row r="125" ht="22" customHeight="1">
      <c r="A125" s="57" t="n"/>
      <c r="B125" s="7" t="n"/>
      <c r="C125" s="58" t="n"/>
      <c r="D125" s="7" t="n"/>
      <c r="E125" s="65" t="n"/>
      <c r="F125" s="7" t="n"/>
      <c r="G125" s="7" t="n"/>
      <c r="H125" s="7" t="n"/>
      <c r="I125" s="7" t="n"/>
      <c r="J125" s="7" t="n"/>
      <c r="K125" s="106">
        <f>IF(OR(E125="", F125=""), "", E125*F125)</f>
        <v/>
      </c>
      <c r="L125" s="58" t="n"/>
    </row>
    <row r="126" ht="22" customHeight="1">
      <c r="A126" s="57" t="n"/>
      <c r="B126" s="7" t="n"/>
      <c r="C126" s="58" t="n"/>
      <c r="D126" s="7" t="n"/>
      <c r="E126" s="65" t="n"/>
      <c r="F126" s="7" t="n"/>
      <c r="G126" s="7" t="n"/>
      <c r="H126" s="7" t="n"/>
      <c r="I126" s="7" t="n"/>
      <c r="J126" s="7" t="n"/>
      <c r="K126" s="106">
        <f>IF(OR(E126="", F126=""), "", E126*F126)</f>
        <v/>
      </c>
      <c r="L126" s="58" t="n"/>
    </row>
    <row r="127" ht="22" customHeight="1">
      <c r="A127" s="57" t="n"/>
      <c r="B127" s="7" t="n"/>
      <c r="C127" s="58" t="n"/>
      <c r="D127" s="7" t="n"/>
      <c r="E127" s="65" t="n"/>
      <c r="F127" s="7" t="n"/>
      <c r="G127" s="7" t="n"/>
      <c r="H127" s="7" t="n"/>
      <c r="I127" s="7" t="n"/>
      <c r="J127" s="7" t="n"/>
      <c r="K127" s="106">
        <f>IF(OR(E127="", F127=""), "", E127*F127)</f>
        <v/>
      </c>
      <c r="L127" s="58" t="n"/>
    </row>
    <row r="128" ht="22" customHeight="1">
      <c r="A128" s="57" t="n"/>
      <c r="B128" s="7" t="n"/>
      <c r="C128" s="58" t="n"/>
      <c r="D128" s="7" t="n"/>
      <c r="E128" s="65" t="n"/>
      <c r="F128" s="7" t="n"/>
      <c r="G128" s="7" t="n"/>
      <c r="H128" s="7" t="n"/>
      <c r="I128" s="7" t="n"/>
      <c r="J128" s="7" t="n"/>
      <c r="K128" s="106">
        <f>IF(OR(E128="", F128=""), "", E128*F128)</f>
        <v/>
      </c>
      <c r="L128" s="58" t="n"/>
    </row>
    <row r="129" ht="22" customHeight="1">
      <c r="A129" s="57" t="n"/>
      <c r="B129" s="7" t="n"/>
      <c r="C129" s="58" t="n"/>
      <c r="D129" s="7" t="n"/>
      <c r="E129" s="65" t="n"/>
      <c r="F129" s="7" t="n"/>
      <c r="G129" s="7" t="n"/>
      <c r="H129" s="7" t="n"/>
      <c r="I129" s="7" t="n"/>
      <c r="J129" s="7" t="n"/>
      <c r="K129" s="106">
        <f>IF(OR(E129="", F129=""), "", E129*F129)</f>
        <v/>
      </c>
      <c r="L129" s="58" t="n"/>
    </row>
    <row r="130" ht="22" customHeight="1">
      <c r="A130" s="57" t="n"/>
      <c r="B130" s="7" t="n"/>
      <c r="C130" s="58" t="n"/>
      <c r="D130" s="7" t="n"/>
      <c r="E130" s="65" t="n"/>
      <c r="F130" s="7" t="n"/>
      <c r="G130" s="7" t="n"/>
      <c r="H130" s="7" t="n"/>
      <c r="I130" s="7" t="n"/>
      <c r="J130" s="7" t="n"/>
      <c r="K130" s="106">
        <f>IF(OR(E130="", F130=""), "", E130*F130)</f>
        <v/>
      </c>
      <c r="L130" s="58" t="n"/>
    </row>
    <row r="131" ht="22" customHeight="1">
      <c r="A131" s="57" t="n"/>
      <c r="B131" s="7" t="n"/>
      <c r="C131" s="58" t="n"/>
      <c r="D131" s="7" t="n"/>
      <c r="E131" s="65" t="n"/>
      <c r="F131" s="7" t="n"/>
      <c r="G131" s="7" t="n"/>
      <c r="H131" s="7" t="n"/>
      <c r="I131" s="7" t="n"/>
      <c r="J131" s="7" t="n"/>
      <c r="K131" s="106">
        <f>IF(OR(E131="", F131=""), "", E131*F131)</f>
        <v/>
      </c>
      <c r="L131" s="58" t="n"/>
    </row>
    <row r="132" ht="22" customHeight="1">
      <c r="A132" s="57" t="n"/>
      <c r="B132" s="7" t="n"/>
      <c r="C132" s="58" t="n"/>
      <c r="D132" s="7" t="n"/>
      <c r="E132" s="65" t="n"/>
      <c r="F132" s="7" t="n"/>
      <c r="G132" s="7" t="n"/>
      <c r="H132" s="7" t="n"/>
      <c r="I132" s="7" t="n"/>
      <c r="J132" s="7" t="n"/>
      <c r="K132" s="106">
        <f>IF(OR(E132="", F132=""), "", E132*F132)</f>
        <v/>
      </c>
      <c r="L132" s="58" t="n"/>
    </row>
    <row r="133" ht="22" customHeight="1">
      <c r="A133" s="57" t="n"/>
      <c r="B133" s="7" t="n"/>
      <c r="C133" s="58" t="n"/>
      <c r="D133" s="7" t="n"/>
      <c r="E133" s="65" t="n"/>
      <c r="F133" s="7" t="n"/>
      <c r="G133" s="7" t="n"/>
      <c r="H133" s="7" t="n"/>
      <c r="I133" s="7" t="n"/>
      <c r="J133" s="7" t="n"/>
      <c r="K133" s="106">
        <f>IF(OR(E133="", F133=""), "", E133*F133)</f>
        <v/>
      </c>
      <c r="L133" s="58" t="n"/>
    </row>
    <row r="134" ht="22" customHeight="1">
      <c r="A134" s="57" t="n"/>
      <c r="B134" s="7" t="n"/>
      <c r="C134" s="58" t="n"/>
      <c r="D134" s="7" t="n"/>
      <c r="E134" s="65" t="n"/>
      <c r="F134" s="7" t="n"/>
      <c r="G134" s="7" t="n"/>
      <c r="H134" s="7" t="n"/>
      <c r="I134" s="7" t="n"/>
      <c r="J134" s="7" t="n"/>
      <c r="K134" s="106">
        <f>IF(OR(E134="", F134=""), "", E134*F134)</f>
        <v/>
      </c>
      <c r="L134" s="58" t="n"/>
    </row>
    <row r="135" ht="22" customHeight="1">
      <c r="A135" s="57" t="n"/>
      <c r="B135" s="7" t="n"/>
      <c r="C135" s="58" t="n"/>
      <c r="D135" s="7" t="n"/>
      <c r="E135" s="65" t="n"/>
      <c r="F135" s="7" t="n"/>
      <c r="G135" s="7" t="n"/>
      <c r="H135" s="7" t="n"/>
      <c r="I135" s="7" t="n"/>
      <c r="J135" s="7" t="n"/>
      <c r="K135" s="106">
        <f>IF(OR(E135="", F135=""), "", E135*F135)</f>
        <v/>
      </c>
      <c r="L135" s="58" t="n"/>
    </row>
    <row r="136" ht="22" customHeight="1">
      <c r="A136" s="57" t="n"/>
      <c r="B136" s="7" t="n"/>
      <c r="C136" s="58" t="n"/>
      <c r="D136" s="7" t="n"/>
      <c r="E136" s="65" t="n"/>
      <c r="F136" s="7" t="n"/>
      <c r="G136" s="7" t="n"/>
      <c r="H136" s="7" t="n"/>
      <c r="I136" s="7" t="n"/>
      <c r="J136" s="7" t="n"/>
      <c r="K136" s="106">
        <f>IF(OR(E136="", F136=""), "", E136*F136)</f>
        <v/>
      </c>
      <c r="L136" s="58" t="n"/>
    </row>
    <row r="137" ht="22" customHeight="1">
      <c r="A137" s="57" t="n"/>
      <c r="B137" s="7" t="n"/>
      <c r="C137" s="58" t="n"/>
      <c r="D137" s="7" t="n"/>
      <c r="E137" s="65" t="n"/>
      <c r="F137" s="7" t="n"/>
      <c r="G137" s="7" t="n"/>
      <c r="H137" s="7" t="n"/>
      <c r="I137" s="7" t="n"/>
      <c r="J137" s="7" t="n"/>
      <c r="K137" s="106">
        <f>IF(OR(E137="", F137=""), "", E137*F137)</f>
        <v/>
      </c>
      <c r="L137" s="58" t="n"/>
    </row>
    <row r="138" ht="22" customHeight="1">
      <c r="A138" s="57" t="n"/>
      <c r="B138" s="7" t="n"/>
      <c r="C138" s="58" t="n"/>
      <c r="D138" s="7" t="n"/>
      <c r="E138" s="65" t="n"/>
      <c r="F138" s="7" t="n"/>
      <c r="G138" s="7" t="n"/>
      <c r="H138" s="7" t="n"/>
      <c r="I138" s="7" t="n"/>
      <c r="J138" s="7" t="n"/>
      <c r="K138" s="106">
        <f>IF(OR(E138="", F138=""), "", E138*F138)</f>
        <v/>
      </c>
      <c r="L138" s="58" t="n"/>
    </row>
    <row r="139" ht="22" customHeight="1">
      <c r="A139" s="57" t="n"/>
      <c r="B139" s="7" t="n"/>
      <c r="C139" s="58" t="n"/>
      <c r="D139" s="7" t="n"/>
      <c r="E139" s="65" t="n"/>
      <c r="F139" s="7" t="n"/>
      <c r="G139" s="7" t="n"/>
      <c r="H139" s="7" t="n"/>
      <c r="I139" s="7" t="n"/>
      <c r="J139" s="7" t="n"/>
      <c r="K139" s="106">
        <f>IF(OR(E139="", F139=""), "", E139*F139)</f>
        <v/>
      </c>
      <c r="L139" s="58" t="n"/>
    </row>
    <row r="140" ht="22" customHeight="1">
      <c r="A140" s="57" t="n"/>
      <c r="B140" s="7" t="n"/>
      <c r="C140" s="58" t="n"/>
      <c r="D140" s="7" t="n"/>
      <c r="E140" s="65" t="n"/>
      <c r="F140" s="7" t="n"/>
      <c r="G140" s="7" t="n"/>
      <c r="H140" s="7" t="n"/>
      <c r="I140" s="7" t="n"/>
      <c r="J140" s="7" t="n"/>
      <c r="K140" s="106">
        <f>IF(OR(E140="", F140=""), "", E140*F140)</f>
        <v/>
      </c>
      <c r="L140" s="58" t="n"/>
    </row>
    <row r="141" ht="22" customHeight="1">
      <c r="A141" s="57" t="n"/>
      <c r="B141" s="7" t="n"/>
      <c r="C141" s="58" t="n"/>
      <c r="D141" s="7" t="n"/>
      <c r="E141" s="65" t="n"/>
      <c r="F141" s="7" t="n"/>
      <c r="G141" s="7" t="n"/>
      <c r="H141" s="7" t="n"/>
      <c r="I141" s="7" t="n"/>
      <c r="J141" s="7" t="n"/>
      <c r="K141" s="106">
        <f>IF(OR(E141="", F141=""), "", E141*F141)</f>
        <v/>
      </c>
      <c r="L141" s="58" t="n"/>
    </row>
    <row r="142" ht="22" customHeight="1">
      <c r="A142" s="57" t="n"/>
      <c r="B142" s="7" t="n"/>
      <c r="C142" s="58" t="n"/>
      <c r="D142" s="7" t="n"/>
      <c r="E142" s="65" t="n"/>
      <c r="F142" s="7" t="n"/>
      <c r="G142" s="7" t="n"/>
      <c r="H142" s="7" t="n"/>
      <c r="I142" s="7" t="n"/>
      <c r="J142" s="7" t="n"/>
      <c r="K142" s="106">
        <f>IF(OR(E142="", F142=""), "", E142*F142)</f>
        <v/>
      </c>
      <c r="L142" s="58" t="n"/>
    </row>
    <row r="143" ht="22" customHeight="1">
      <c r="A143" s="57" t="n"/>
      <c r="B143" s="7" t="n"/>
      <c r="C143" s="58" t="n"/>
      <c r="D143" s="7" t="n"/>
      <c r="E143" s="65" t="n"/>
      <c r="F143" s="7" t="n"/>
      <c r="G143" s="7" t="n"/>
      <c r="H143" s="7" t="n"/>
      <c r="I143" s="7" t="n"/>
      <c r="J143" s="7" t="n"/>
      <c r="K143" s="106">
        <f>IF(OR(E143="", F143=""), "", E143*F143)</f>
        <v/>
      </c>
      <c r="L143" s="58" t="n"/>
    </row>
    <row r="144" ht="22" customHeight="1">
      <c r="A144" s="57" t="n"/>
      <c r="B144" s="7" t="n"/>
      <c r="C144" s="58" t="n"/>
      <c r="D144" s="7" t="n"/>
      <c r="E144" s="65" t="n"/>
      <c r="F144" s="7" t="n"/>
      <c r="G144" s="7" t="n"/>
      <c r="H144" s="7" t="n"/>
      <c r="I144" s="7" t="n"/>
      <c r="J144" s="7" t="n"/>
      <c r="K144" s="106">
        <f>IF(OR(E144="", F144=""), "", E144*F144)</f>
        <v/>
      </c>
      <c r="L144" s="58" t="n"/>
    </row>
    <row r="145" ht="22" customHeight="1">
      <c r="A145" s="57" t="n"/>
      <c r="B145" s="7" t="n"/>
      <c r="C145" s="58" t="n"/>
      <c r="D145" s="7" t="n"/>
      <c r="E145" s="65" t="n"/>
      <c r="F145" s="7" t="n"/>
      <c r="G145" s="7" t="n"/>
      <c r="H145" s="7" t="n"/>
      <c r="I145" s="7" t="n"/>
      <c r="J145" s="7" t="n"/>
      <c r="K145" s="106">
        <f>IF(OR(E145="", F145=""), "", E145*F145)</f>
        <v/>
      </c>
      <c r="L145" s="58" t="n"/>
    </row>
    <row r="146" ht="22" customHeight="1">
      <c r="A146" s="57" t="n"/>
      <c r="B146" s="7" t="n"/>
      <c r="C146" s="58" t="n"/>
      <c r="D146" s="7" t="n"/>
      <c r="E146" s="65" t="n"/>
      <c r="F146" s="7" t="n"/>
      <c r="G146" s="7" t="n"/>
      <c r="H146" s="7" t="n"/>
      <c r="I146" s="7" t="n"/>
      <c r="J146" s="7" t="n"/>
      <c r="K146" s="106">
        <f>IF(OR(E146="", F146=""), "", E146*F146)</f>
        <v/>
      </c>
      <c r="L146" s="58" t="n"/>
    </row>
    <row r="147" ht="22" customHeight="1">
      <c r="A147" s="57" t="n"/>
      <c r="B147" s="7" t="n"/>
      <c r="C147" s="58" t="n"/>
      <c r="D147" s="7" t="n"/>
      <c r="E147" s="65" t="n"/>
      <c r="F147" s="7" t="n"/>
      <c r="G147" s="7" t="n"/>
      <c r="H147" s="7" t="n"/>
      <c r="I147" s="7" t="n"/>
      <c r="J147" s="7" t="n"/>
      <c r="K147" s="106">
        <f>IF(OR(E147="", F147=""), "", E147*F147)</f>
        <v/>
      </c>
      <c r="L147" s="58" t="n"/>
    </row>
    <row r="148" ht="22" customHeight="1">
      <c r="A148" s="57" t="n"/>
      <c r="B148" s="7" t="n"/>
      <c r="C148" s="58" t="n"/>
      <c r="D148" s="7" t="n"/>
      <c r="E148" s="65" t="n"/>
      <c r="F148" s="7" t="n"/>
      <c r="G148" s="7" t="n"/>
      <c r="H148" s="7" t="n"/>
      <c r="I148" s="7" t="n"/>
      <c r="J148" s="7" t="n"/>
      <c r="K148" s="106">
        <f>IF(OR(E148="", F148=""), "", E148*F148)</f>
        <v/>
      </c>
      <c r="L148" s="58" t="n"/>
    </row>
    <row r="149" ht="22" customHeight="1">
      <c r="A149" s="57" t="n"/>
      <c r="B149" s="7" t="n"/>
      <c r="C149" s="58" t="n"/>
      <c r="D149" s="7" t="n"/>
      <c r="E149" s="65" t="n"/>
      <c r="F149" s="7" t="n"/>
      <c r="G149" s="7" t="n"/>
      <c r="H149" s="7" t="n"/>
      <c r="I149" s="7" t="n"/>
      <c r="J149" s="7" t="n"/>
      <c r="K149" s="106">
        <f>IF(OR(E149="", F149=""), "", E149*F149)</f>
        <v/>
      </c>
      <c r="L149" s="58" t="n"/>
    </row>
    <row r="150" ht="22" customHeight="1">
      <c r="A150" s="57" t="n"/>
      <c r="B150" s="7" t="n"/>
      <c r="C150" s="58" t="n"/>
      <c r="D150" s="7" t="n"/>
      <c r="E150" s="65" t="n"/>
      <c r="F150" s="7" t="n"/>
      <c r="G150" s="7" t="n"/>
      <c r="H150" s="7" t="n"/>
      <c r="I150" s="7" t="n"/>
      <c r="J150" s="7" t="n"/>
      <c r="K150" s="106">
        <f>IF(OR(E150="", F150=""), "", E150*F150)</f>
        <v/>
      </c>
      <c r="L150" s="58" t="n"/>
    </row>
    <row r="151" ht="22" customHeight="1">
      <c r="A151" s="57" t="n"/>
      <c r="B151" s="7" t="n"/>
      <c r="C151" s="58" t="n"/>
      <c r="D151" s="7" t="n"/>
      <c r="E151" s="65" t="n"/>
      <c r="F151" s="7" t="n"/>
      <c r="G151" s="7" t="n"/>
      <c r="H151" s="7" t="n"/>
      <c r="I151" s="7" t="n"/>
      <c r="J151" s="7" t="n"/>
      <c r="K151" s="106">
        <f>IF(OR(E151="", F151=""), "", E151*F151)</f>
        <v/>
      </c>
      <c r="L151" s="58" t="n"/>
    </row>
    <row r="152" ht="22" customHeight="1">
      <c r="A152" s="57" t="n"/>
      <c r="B152" s="7" t="n"/>
      <c r="C152" s="58" t="n"/>
      <c r="D152" s="7" t="n"/>
      <c r="E152" s="65" t="n"/>
      <c r="F152" s="7" t="n"/>
      <c r="G152" s="7" t="n"/>
      <c r="H152" s="7" t="n"/>
      <c r="I152" s="7" t="n"/>
      <c r="J152" s="7" t="n"/>
      <c r="K152" s="106">
        <f>IF(OR(E152="", F152=""), "", E152*F152)</f>
        <v/>
      </c>
      <c r="L152" s="58" t="n"/>
    </row>
    <row r="153" ht="22" customHeight="1">
      <c r="A153" s="57" t="n"/>
      <c r="B153" s="7" t="n"/>
      <c r="C153" s="58" t="n"/>
      <c r="D153" s="7" t="n"/>
      <c r="E153" s="65" t="n"/>
      <c r="F153" s="7" t="n"/>
      <c r="G153" s="7" t="n"/>
      <c r="H153" s="7" t="n"/>
      <c r="I153" s="7" t="n"/>
      <c r="J153" s="7" t="n"/>
      <c r="K153" s="106">
        <f>IF(OR(E153="", F153=""), "", E153*F153)</f>
        <v/>
      </c>
      <c r="L153" s="58" t="n"/>
    </row>
    <row r="154">
      <c r="A154" s="115" t="n"/>
      <c r="B154" s="115" t="n"/>
      <c r="C154" s="115" t="n"/>
      <c r="D154" s="115" t="n"/>
      <c r="E154" s="115" t="n"/>
      <c r="F154" s="115" t="n"/>
      <c r="G154" s="115" t="n"/>
      <c r="H154" s="115" t="n"/>
      <c r="I154" s="115" t="n"/>
      <c r="J154" s="115" t="n"/>
      <c r="K154" s="116">
        <f>IF(OR(E154="", F154=""), "", E154*F154)</f>
        <v/>
      </c>
      <c r="L154" s="115" t="n"/>
    </row>
    <row r="155">
      <c r="A155" s="115" t="n"/>
      <c r="B155" s="115" t="n"/>
      <c r="C155" s="115" t="n"/>
      <c r="D155" s="115" t="n"/>
      <c r="E155" s="115" t="n"/>
      <c r="F155" s="115" t="n"/>
      <c r="G155" s="115" t="n"/>
      <c r="H155" s="115" t="n"/>
      <c r="I155" s="115" t="n"/>
      <c r="J155" s="115" t="n"/>
      <c r="K155" s="116">
        <f>IF(OR(E155="", F155=""), "", E155*F155)</f>
        <v/>
      </c>
      <c r="L155" s="115" t="n"/>
    </row>
    <row r="156">
      <c r="A156" s="115" t="n"/>
      <c r="B156" s="115" t="n"/>
      <c r="C156" s="115" t="n"/>
      <c r="D156" s="115" t="n"/>
      <c r="E156" s="115" t="n"/>
      <c r="F156" s="115" t="n"/>
      <c r="G156" s="115" t="n"/>
      <c r="H156" s="115" t="n"/>
      <c r="I156" s="115" t="n"/>
      <c r="J156" s="115" t="n"/>
      <c r="K156" s="116">
        <f>IF(OR(E156="", F156=""), "", E156*F156)</f>
        <v/>
      </c>
      <c r="L156" s="115" t="n"/>
    </row>
    <row r="157">
      <c r="A157" s="115" t="n"/>
      <c r="B157" s="115" t="n"/>
      <c r="C157" s="115" t="n"/>
      <c r="D157" s="115" t="n"/>
      <c r="E157" s="115" t="n"/>
      <c r="F157" s="115" t="n"/>
      <c r="G157" s="115" t="n"/>
      <c r="H157" s="115" t="n"/>
      <c r="I157" s="115" t="n"/>
      <c r="J157" s="115" t="n"/>
      <c r="K157" s="116">
        <f>IF(OR(E157="", F157=""), "", E157*F157)</f>
        <v/>
      </c>
      <c r="L157" s="115" t="n"/>
    </row>
    <row r="158">
      <c r="A158" s="115" t="n"/>
      <c r="B158" s="115" t="n"/>
      <c r="C158" s="115" t="n"/>
      <c r="D158" s="115" t="n"/>
      <c r="E158" s="115" t="n"/>
      <c r="F158" s="115" t="n"/>
      <c r="G158" s="115" t="n"/>
      <c r="H158" s="115" t="n"/>
      <c r="I158" s="115" t="n"/>
      <c r="J158" s="115" t="n"/>
      <c r="K158" s="116">
        <f>IF(OR(E158="", F158=""), "", E158*F158)</f>
        <v/>
      </c>
      <c r="L158" s="115" t="n"/>
    </row>
    <row r="159">
      <c r="A159" s="115" t="n"/>
      <c r="B159" s="115" t="n"/>
      <c r="C159" s="115" t="n"/>
      <c r="D159" s="115" t="n"/>
      <c r="E159" s="115" t="n"/>
      <c r="F159" s="115" t="n"/>
      <c r="G159" s="115" t="n"/>
      <c r="H159" s="115" t="n"/>
      <c r="I159" s="115" t="n"/>
      <c r="J159" s="115" t="n"/>
      <c r="K159" s="116">
        <f>IF(OR(E159="", F159=""), "", E159*F159)</f>
        <v/>
      </c>
      <c r="L159" s="115" t="n"/>
    </row>
    <row r="160">
      <c r="A160" s="115" t="n"/>
      <c r="B160" s="115" t="n"/>
      <c r="C160" s="115" t="n"/>
      <c r="D160" s="115" t="n"/>
      <c r="E160" s="115" t="n"/>
      <c r="F160" s="115" t="n"/>
      <c r="G160" s="115" t="n"/>
      <c r="H160" s="115" t="n"/>
      <c r="I160" s="115" t="n"/>
      <c r="J160" s="115" t="n"/>
      <c r="K160" s="116">
        <f>IF(OR(E160="", F160=""), "", E160*F160)</f>
        <v/>
      </c>
      <c r="L160" s="115" t="n"/>
    </row>
    <row r="161">
      <c r="A161" s="115" t="n"/>
      <c r="B161" s="115" t="n"/>
      <c r="C161" s="115" t="n"/>
      <c r="D161" s="115" t="n"/>
      <c r="E161" s="115" t="n"/>
      <c r="F161" s="115" t="n"/>
      <c r="G161" s="115" t="n"/>
      <c r="H161" s="115" t="n"/>
      <c r="I161" s="115" t="n"/>
      <c r="J161" s="115" t="n"/>
      <c r="K161" s="116">
        <f>IF(OR(E161="", F161=""), "", E161*F161)</f>
        <v/>
      </c>
      <c r="L161" s="115" t="n"/>
    </row>
    <row r="162">
      <c r="A162" s="115" t="n"/>
      <c r="B162" s="115" t="n"/>
      <c r="C162" s="115" t="n"/>
      <c r="D162" s="115" t="n"/>
      <c r="E162" s="115" t="n"/>
      <c r="F162" s="115" t="n"/>
      <c r="G162" s="115" t="n"/>
      <c r="H162" s="115" t="n"/>
      <c r="I162" s="115" t="n"/>
      <c r="J162" s="115" t="n"/>
      <c r="K162" s="116">
        <f>IF(OR(E162="", F162=""), "", E162*F162)</f>
        <v/>
      </c>
      <c r="L162" s="115" t="n"/>
    </row>
    <row r="163">
      <c r="A163" s="115" t="n"/>
      <c r="B163" s="115" t="n"/>
      <c r="C163" s="115" t="n"/>
      <c r="D163" s="115" t="n"/>
      <c r="E163" s="115" t="n"/>
      <c r="F163" s="115" t="n"/>
      <c r="G163" s="115" t="n"/>
      <c r="H163" s="115" t="n"/>
      <c r="I163" s="115" t="n"/>
      <c r="J163" s="115" t="n"/>
      <c r="K163" s="116">
        <f>IF(OR(E163="", F163=""), "", E163*F163)</f>
        <v/>
      </c>
      <c r="L163" s="115" t="n"/>
    </row>
    <row r="164">
      <c r="A164" s="115" t="n"/>
      <c r="B164" s="115" t="n"/>
      <c r="C164" s="115" t="n"/>
      <c r="D164" s="115" t="n"/>
      <c r="E164" s="115" t="n"/>
      <c r="F164" s="115" t="n"/>
      <c r="G164" s="115" t="n"/>
      <c r="H164" s="115" t="n"/>
      <c r="I164" s="115" t="n"/>
      <c r="J164" s="115" t="n"/>
      <c r="K164" s="116">
        <f>IF(OR(E164="", F164=""), "", E164*F164)</f>
        <v/>
      </c>
      <c r="L164" s="115" t="n"/>
    </row>
    <row r="165">
      <c r="A165" s="115" t="n"/>
      <c r="B165" s="115" t="n"/>
      <c r="C165" s="115" t="n"/>
      <c r="D165" s="115" t="n"/>
      <c r="E165" s="115" t="n"/>
      <c r="F165" s="115" t="n"/>
      <c r="G165" s="115" t="n"/>
      <c r="H165" s="115" t="n"/>
      <c r="I165" s="115" t="n"/>
      <c r="J165" s="115" t="n"/>
      <c r="K165" s="116">
        <f>IF(OR(E165="", F165=""), "", E165*F165)</f>
        <v/>
      </c>
      <c r="L165" s="115" t="n"/>
    </row>
    <row r="166">
      <c r="A166" s="115" t="n"/>
      <c r="B166" s="115" t="n"/>
      <c r="C166" s="115" t="n"/>
      <c r="D166" s="115" t="n"/>
      <c r="E166" s="115" t="n"/>
      <c r="F166" s="115" t="n"/>
      <c r="G166" s="115" t="n"/>
      <c r="H166" s="115" t="n"/>
      <c r="I166" s="115" t="n"/>
      <c r="J166" s="115" t="n"/>
      <c r="K166" s="116">
        <f>IF(OR(E166="", F166=""), "", E166*F166)</f>
        <v/>
      </c>
      <c r="L166" s="115" t="n"/>
    </row>
    <row r="167">
      <c r="A167" s="115" t="n"/>
      <c r="B167" s="115" t="n"/>
      <c r="C167" s="115" t="n"/>
      <c r="D167" s="115" t="n"/>
      <c r="E167" s="115" t="n"/>
      <c r="F167" s="115" t="n"/>
      <c r="G167" s="115" t="n"/>
      <c r="H167" s="115" t="n"/>
      <c r="I167" s="115" t="n"/>
      <c r="J167" s="115" t="n"/>
      <c r="K167" s="116">
        <f>IF(OR(E167="", F167=""), "", E167*F167)</f>
        <v/>
      </c>
      <c r="L167" s="115" t="n"/>
    </row>
    <row r="168">
      <c r="A168" s="115" t="n"/>
      <c r="B168" s="115" t="n"/>
      <c r="C168" s="115" t="n"/>
      <c r="D168" s="115" t="n"/>
      <c r="E168" s="115" t="n"/>
      <c r="F168" s="115" t="n"/>
      <c r="G168" s="115" t="n"/>
      <c r="H168" s="115" t="n"/>
      <c r="I168" s="115" t="n"/>
      <c r="J168" s="115" t="n"/>
      <c r="K168" s="116">
        <f>IF(OR(E168="", F168=""), "", E168*F168)</f>
        <v/>
      </c>
      <c r="L168" s="115" t="n"/>
    </row>
    <row r="169">
      <c r="A169" s="115" t="n"/>
      <c r="B169" s="115" t="n"/>
      <c r="C169" s="115" t="n"/>
      <c r="D169" s="115" t="n"/>
      <c r="E169" s="115" t="n"/>
      <c r="F169" s="115" t="n"/>
      <c r="G169" s="115" t="n"/>
      <c r="H169" s="115" t="n"/>
      <c r="I169" s="115" t="n"/>
      <c r="J169" s="115" t="n"/>
      <c r="K169" s="116">
        <f>IF(OR(E169="", F169=""), "", E169*F169)</f>
        <v/>
      </c>
      <c r="L169" s="115" t="n"/>
    </row>
    <row r="170">
      <c r="A170" s="115" t="n"/>
      <c r="B170" s="115" t="n"/>
      <c r="C170" s="115" t="n"/>
      <c r="D170" s="115" t="n"/>
      <c r="E170" s="115" t="n"/>
      <c r="F170" s="115" t="n"/>
      <c r="G170" s="115" t="n"/>
      <c r="H170" s="115" t="n"/>
      <c r="I170" s="115" t="n"/>
      <c r="J170" s="115" t="n"/>
      <c r="K170" s="116">
        <f>IF(OR(E170="", F170=""), "", E170*F170)</f>
        <v/>
      </c>
      <c r="L170" s="115" t="n"/>
    </row>
    <row r="171">
      <c r="A171" s="115" t="n"/>
      <c r="B171" s="115" t="n"/>
      <c r="C171" s="115" t="n"/>
      <c r="D171" s="115" t="n"/>
      <c r="E171" s="115" t="n"/>
      <c r="F171" s="115" t="n"/>
      <c r="G171" s="115" t="n"/>
      <c r="H171" s="115" t="n"/>
      <c r="I171" s="115" t="n"/>
      <c r="J171" s="115" t="n"/>
      <c r="K171" s="116">
        <f>IF(OR(E171="", F171=""), "", E171*F171)</f>
        <v/>
      </c>
      <c r="L171" s="115" t="n"/>
    </row>
    <row r="172">
      <c r="A172" s="115" t="n"/>
      <c r="B172" s="115" t="n"/>
      <c r="C172" s="115" t="n"/>
      <c r="D172" s="115" t="n"/>
      <c r="E172" s="115" t="n"/>
      <c r="F172" s="115" t="n"/>
      <c r="G172" s="115" t="n"/>
      <c r="H172" s="115" t="n"/>
      <c r="I172" s="115" t="n"/>
      <c r="J172" s="115" t="n"/>
      <c r="K172" s="116">
        <f>IF(OR(E172="", F172=""), "", E172*F172)</f>
        <v/>
      </c>
      <c r="L172" s="115" t="n"/>
    </row>
    <row r="173">
      <c r="A173" s="115" t="n"/>
      <c r="B173" s="115" t="n"/>
      <c r="C173" s="115" t="n"/>
      <c r="D173" s="115" t="n"/>
      <c r="E173" s="115" t="n"/>
      <c r="F173" s="115" t="n"/>
      <c r="G173" s="115" t="n"/>
      <c r="H173" s="115" t="n"/>
      <c r="I173" s="115" t="n"/>
      <c r="J173" s="115" t="n"/>
      <c r="K173" s="116">
        <f>IF(OR(E173="", F173=""), "", E173*F173)</f>
        <v/>
      </c>
      <c r="L173" s="115" t="n"/>
    </row>
    <row r="174">
      <c r="A174" s="115" t="n"/>
      <c r="B174" s="115" t="n"/>
      <c r="C174" s="115" t="n"/>
      <c r="D174" s="115" t="n"/>
      <c r="E174" s="115" t="n"/>
      <c r="F174" s="115" t="n"/>
      <c r="G174" s="115" t="n"/>
      <c r="H174" s="115" t="n"/>
      <c r="I174" s="115" t="n"/>
      <c r="J174" s="115" t="n"/>
      <c r="K174" s="116">
        <f>IF(OR(E174="", F174=""), "", E174*F174)</f>
        <v/>
      </c>
      <c r="L174" s="115" t="n"/>
    </row>
    <row r="175">
      <c r="A175" s="115" t="n"/>
      <c r="B175" s="115" t="n"/>
      <c r="C175" s="115" t="n"/>
      <c r="D175" s="115" t="n"/>
      <c r="E175" s="115" t="n"/>
      <c r="F175" s="115" t="n"/>
      <c r="G175" s="115" t="n"/>
      <c r="H175" s="115" t="n"/>
      <c r="I175" s="115" t="n"/>
      <c r="J175" s="115" t="n"/>
      <c r="K175" s="116">
        <f>IF(OR(E175="", F175=""), "", E175*F175)</f>
        <v/>
      </c>
      <c r="L175" s="115" t="n"/>
    </row>
    <row r="176">
      <c r="A176" s="115" t="n"/>
      <c r="B176" s="115" t="n"/>
      <c r="C176" s="115" t="n"/>
      <c r="D176" s="115" t="n"/>
      <c r="E176" s="115" t="n"/>
      <c r="F176" s="115" t="n"/>
      <c r="G176" s="115" t="n"/>
      <c r="H176" s="115" t="n"/>
      <c r="I176" s="115" t="n"/>
      <c r="J176" s="115" t="n"/>
      <c r="K176" s="116">
        <f>IF(OR(E176="", F176=""), "", E176*F176)</f>
        <v/>
      </c>
      <c r="L176" s="115" t="n"/>
    </row>
    <row r="177">
      <c r="A177" s="115" t="n"/>
      <c r="B177" s="115" t="n"/>
      <c r="C177" s="115" t="n"/>
      <c r="D177" s="115" t="n"/>
      <c r="E177" s="115" t="n"/>
      <c r="F177" s="115" t="n"/>
      <c r="G177" s="115" t="n"/>
      <c r="H177" s="115" t="n"/>
      <c r="I177" s="115" t="n"/>
      <c r="J177" s="115" t="n"/>
      <c r="K177" s="116">
        <f>IF(OR(E177="", F177=""), "", E177*F177)</f>
        <v/>
      </c>
      <c r="L177" s="115" t="n"/>
    </row>
    <row r="178">
      <c r="A178" s="115" t="n"/>
      <c r="B178" s="115" t="n"/>
      <c r="C178" s="115" t="n"/>
      <c r="D178" s="115" t="n"/>
      <c r="E178" s="115" t="n"/>
      <c r="F178" s="115" t="n"/>
      <c r="G178" s="115" t="n"/>
      <c r="H178" s="115" t="n"/>
      <c r="I178" s="115" t="n"/>
      <c r="J178" s="115" t="n"/>
      <c r="K178" s="116">
        <f>IF(OR(E178="", F178=""), "", E178*F178)</f>
        <v/>
      </c>
      <c r="L178" s="115" t="n"/>
    </row>
    <row r="179">
      <c r="A179" s="115" t="n"/>
      <c r="B179" s="115" t="n"/>
      <c r="C179" s="115" t="n"/>
      <c r="D179" s="115" t="n"/>
      <c r="E179" s="115" t="n"/>
      <c r="F179" s="115" t="n"/>
      <c r="G179" s="115" t="n"/>
      <c r="H179" s="115" t="n"/>
      <c r="I179" s="115" t="n"/>
      <c r="J179" s="115" t="n"/>
      <c r="K179" s="116">
        <f>IF(OR(E179="", F179=""), "", E179*F179)</f>
        <v/>
      </c>
      <c r="L179" s="115" t="n"/>
    </row>
    <row r="180">
      <c r="A180" s="115" t="n"/>
      <c r="B180" s="115" t="n"/>
      <c r="C180" s="115" t="n"/>
      <c r="D180" s="115" t="n"/>
      <c r="E180" s="115" t="n"/>
      <c r="F180" s="115" t="n"/>
      <c r="G180" s="115" t="n"/>
      <c r="H180" s="115" t="n"/>
      <c r="I180" s="115" t="n"/>
      <c r="J180" s="115" t="n"/>
      <c r="K180" s="116">
        <f>IF(OR(E180="", F180=""), "", E180*F180)</f>
        <v/>
      </c>
      <c r="L180" s="115" t="n"/>
    </row>
    <row r="181">
      <c r="A181" s="115" t="n"/>
      <c r="B181" s="115" t="n"/>
      <c r="C181" s="115" t="n"/>
      <c r="D181" s="115" t="n"/>
      <c r="E181" s="115" t="n"/>
      <c r="F181" s="115" t="n"/>
      <c r="G181" s="115" t="n"/>
      <c r="H181" s="115" t="n"/>
      <c r="I181" s="115" t="n"/>
      <c r="J181" s="115" t="n"/>
      <c r="K181" s="116">
        <f>IF(OR(E181="", F181=""), "", E181*F181)</f>
        <v/>
      </c>
      <c r="L181" s="115" t="n"/>
    </row>
    <row r="182">
      <c r="A182" s="115" t="n"/>
      <c r="B182" s="115" t="n"/>
      <c r="C182" s="115" t="n"/>
      <c r="D182" s="115" t="n"/>
      <c r="E182" s="115" t="n"/>
      <c r="F182" s="115" t="n"/>
      <c r="G182" s="115" t="n"/>
      <c r="H182" s="115" t="n"/>
      <c r="I182" s="115" t="n"/>
      <c r="J182" s="115" t="n"/>
      <c r="K182" s="116">
        <f>IF(OR(E182="", F182=""), "", E182*F182)</f>
        <v/>
      </c>
      <c r="L182" s="115" t="n"/>
    </row>
    <row r="183">
      <c r="A183" s="115" t="n"/>
      <c r="B183" s="115" t="n"/>
      <c r="C183" s="115" t="n"/>
      <c r="D183" s="115" t="n"/>
      <c r="E183" s="115" t="n"/>
      <c r="F183" s="115" t="n"/>
      <c r="G183" s="115" t="n"/>
      <c r="H183" s="115" t="n"/>
      <c r="I183" s="115" t="n"/>
      <c r="J183" s="115" t="n"/>
      <c r="K183" s="116">
        <f>IF(OR(E183="", F183=""), "", E183*F183)</f>
        <v/>
      </c>
      <c r="L183" s="115" t="n"/>
    </row>
    <row r="184">
      <c r="A184" s="115" t="n"/>
      <c r="B184" s="115" t="n"/>
      <c r="C184" s="115" t="n"/>
      <c r="D184" s="115" t="n"/>
      <c r="E184" s="115" t="n"/>
      <c r="F184" s="115" t="n"/>
      <c r="G184" s="115" t="n"/>
      <c r="H184" s="115" t="n"/>
      <c r="I184" s="115" t="n"/>
      <c r="J184" s="115" t="n"/>
      <c r="K184" s="116">
        <f>IF(OR(E184="", F184=""), "", E184*F184)</f>
        <v/>
      </c>
      <c r="L184" s="115" t="n"/>
    </row>
    <row r="185">
      <c r="A185" s="115" t="n"/>
      <c r="B185" s="115" t="n"/>
      <c r="C185" s="115" t="n"/>
      <c r="D185" s="115" t="n"/>
      <c r="E185" s="115" t="n"/>
      <c r="F185" s="115" t="n"/>
      <c r="G185" s="115" t="n"/>
      <c r="H185" s="115" t="n"/>
      <c r="I185" s="115" t="n"/>
      <c r="J185" s="115" t="n"/>
      <c r="K185" s="116">
        <f>IF(OR(E185="", F185=""), "", E185*F185)</f>
        <v/>
      </c>
      <c r="L185" s="115" t="n"/>
    </row>
    <row r="186">
      <c r="A186" s="115" t="n"/>
      <c r="B186" s="115" t="n"/>
      <c r="C186" s="115" t="n"/>
      <c r="D186" s="115" t="n"/>
      <c r="E186" s="115" t="n"/>
      <c r="F186" s="115" t="n"/>
      <c r="G186" s="115" t="n"/>
      <c r="H186" s="115" t="n"/>
      <c r="I186" s="115" t="n"/>
      <c r="J186" s="115" t="n"/>
      <c r="K186" s="116">
        <f>IF(OR(E186="", F186=""), "", E186*F186)</f>
        <v/>
      </c>
      <c r="L186" s="115" t="n"/>
    </row>
    <row r="187">
      <c r="A187" s="115" t="n"/>
      <c r="B187" s="115" t="n"/>
      <c r="C187" s="115" t="n"/>
      <c r="D187" s="115" t="n"/>
      <c r="E187" s="115" t="n"/>
      <c r="F187" s="115" t="n"/>
      <c r="G187" s="115" t="n"/>
      <c r="H187" s="115" t="n"/>
      <c r="I187" s="115" t="n"/>
      <c r="J187" s="115" t="n"/>
      <c r="K187" s="116">
        <f>IF(OR(E187="", F187=""), "", E187*F187)</f>
        <v/>
      </c>
      <c r="L187" s="115" t="n"/>
    </row>
    <row r="188">
      <c r="A188" s="115" t="n"/>
      <c r="B188" s="115" t="n"/>
      <c r="C188" s="115" t="n"/>
      <c r="D188" s="115" t="n"/>
      <c r="E188" s="115" t="n"/>
      <c r="F188" s="115" t="n"/>
      <c r="G188" s="115" t="n"/>
      <c r="H188" s="115" t="n"/>
      <c r="I188" s="115" t="n"/>
      <c r="J188" s="115" t="n"/>
      <c r="K188" s="116">
        <f>IF(OR(E188="", F188=""), "", E188*F188)</f>
        <v/>
      </c>
      <c r="L188" s="115" t="n"/>
    </row>
    <row r="189">
      <c r="A189" s="115" t="n"/>
      <c r="B189" s="115" t="n"/>
      <c r="C189" s="115" t="n"/>
      <c r="D189" s="115" t="n"/>
      <c r="E189" s="115" t="n"/>
      <c r="F189" s="115" t="n"/>
      <c r="G189" s="115" t="n"/>
      <c r="H189" s="115" t="n"/>
      <c r="I189" s="115" t="n"/>
      <c r="J189" s="115" t="n"/>
      <c r="K189" s="116">
        <f>IF(OR(E189="", F189=""), "", E189*F189)</f>
        <v/>
      </c>
      <c r="L189" s="115" t="n"/>
    </row>
    <row r="190">
      <c r="A190" s="115" t="n"/>
      <c r="B190" s="115" t="n"/>
      <c r="C190" s="115" t="n"/>
      <c r="D190" s="115" t="n"/>
      <c r="E190" s="115" t="n"/>
      <c r="F190" s="115" t="n"/>
      <c r="G190" s="115" t="n"/>
      <c r="H190" s="115" t="n"/>
      <c r="I190" s="115" t="n"/>
      <c r="J190" s="115" t="n"/>
      <c r="K190" s="116">
        <f>IF(OR(E190="", F190=""), "", E190*F190)</f>
        <v/>
      </c>
      <c r="L190" s="115" t="n"/>
    </row>
    <row r="191">
      <c r="A191" s="115" t="n"/>
      <c r="B191" s="115" t="n"/>
      <c r="C191" s="115" t="n"/>
      <c r="D191" s="115" t="n"/>
      <c r="E191" s="115" t="n"/>
      <c r="F191" s="115" t="n"/>
      <c r="G191" s="115" t="n"/>
      <c r="H191" s="115" t="n"/>
      <c r="I191" s="115" t="n"/>
      <c r="J191" s="115" t="n"/>
      <c r="K191" s="116">
        <f>IF(OR(E191="", F191=""), "", E191*F191)</f>
        <v/>
      </c>
      <c r="L191" s="115" t="n"/>
    </row>
    <row r="192">
      <c r="A192" s="115" t="n"/>
      <c r="B192" s="115" t="n"/>
      <c r="C192" s="115" t="n"/>
      <c r="D192" s="115" t="n"/>
      <c r="E192" s="115" t="n"/>
      <c r="F192" s="115" t="n"/>
      <c r="G192" s="115" t="n"/>
      <c r="H192" s="115" t="n"/>
      <c r="I192" s="115" t="n"/>
      <c r="J192" s="115" t="n"/>
      <c r="K192" s="116">
        <f>IF(OR(E192="", F192=""), "", E192*F192)</f>
        <v/>
      </c>
      <c r="L192" s="115" t="n"/>
    </row>
    <row r="193">
      <c r="A193" s="115" t="n"/>
      <c r="B193" s="115" t="n"/>
      <c r="C193" s="115" t="n"/>
      <c r="D193" s="115" t="n"/>
      <c r="E193" s="115" t="n"/>
      <c r="F193" s="115" t="n"/>
      <c r="G193" s="115" t="n"/>
      <c r="H193" s="115" t="n"/>
      <c r="I193" s="115" t="n"/>
      <c r="J193" s="115" t="n"/>
      <c r="K193" s="116">
        <f>IF(OR(E193="", F193=""), "", E193*F193)</f>
        <v/>
      </c>
      <c r="L193" s="115" t="n"/>
    </row>
    <row r="194">
      <c r="A194" s="115" t="n"/>
      <c r="B194" s="115" t="n"/>
      <c r="C194" s="115" t="n"/>
      <c r="D194" s="115" t="n"/>
      <c r="E194" s="115" t="n"/>
      <c r="F194" s="115" t="n"/>
      <c r="G194" s="115" t="n"/>
      <c r="H194" s="115" t="n"/>
      <c r="I194" s="115" t="n"/>
      <c r="J194" s="115" t="n"/>
      <c r="K194" s="116">
        <f>IF(OR(E194="", F194=""), "", E194*F194)</f>
        <v/>
      </c>
      <c r="L194" s="115" t="n"/>
    </row>
    <row r="195">
      <c r="A195" s="115" t="n"/>
      <c r="B195" s="115" t="n"/>
      <c r="C195" s="115" t="n"/>
      <c r="D195" s="115" t="n"/>
      <c r="E195" s="115" t="n"/>
      <c r="F195" s="115" t="n"/>
      <c r="G195" s="115" t="n"/>
      <c r="H195" s="115" t="n"/>
      <c r="I195" s="115" t="n"/>
      <c r="J195" s="115" t="n"/>
      <c r="K195" s="116">
        <f>IF(OR(E195="", F195=""), "", E195*F195)</f>
        <v/>
      </c>
      <c r="L195" s="115" t="n"/>
    </row>
    <row r="196">
      <c r="A196" s="115" t="n"/>
      <c r="B196" s="115" t="n"/>
      <c r="C196" s="115" t="n"/>
      <c r="D196" s="115" t="n"/>
      <c r="E196" s="115" t="n"/>
      <c r="F196" s="115" t="n"/>
      <c r="G196" s="115" t="n"/>
      <c r="H196" s="115" t="n"/>
      <c r="I196" s="115" t="n"/>
      <c r="J196" s="115" t="n"/>
      <c r="K196" s="116">
        <f>IF(OR(E196="", F196=""), "", E196*F196)</f>
        <v/>
      </c>
      <c r="L196" s="115" t="n"/>
    </row>
    <row r="197">
      <c r="A197" s="115" t="n"/>
      <c r="B197" s="115" t="n"/>
      <c r="C197" s="115" t="n"/>
      <c r="D197" s="115" t="n"/>
      <c r="E197" s="115" t="n"/>
      <c r="F197" s="115" t="n"/>
      <c r="G197" s="115" t="n"/>
      <c r="H197" s="115" t="n"/>
      <c r="I197" s="115" t="n"/>
      <c r="J197" s="115" t="n"/>
      <c r="K197" s="116">
        <f>IF(OR(E197="", F197=""), "", E197*F197)</f>
        <v/>
      </c>
      <c r="L197" s="115" t="n"/>
    </row>
    <row r="198">
      <c r="A198" s="115" t="n"/>
      <c r="B198" s="115" t="n"/>
      <c r="C198" s="115" t="n"/>
      <c r="D198" s="115" t="n"/>
      <c r="E198" s="115" t="n"/>
      <c r="F198" s="115" t="n"/>
      <c r="G198" s="115" t="n"/>
      <c r="H198" s="115" t="n"/>
      <c r="I198" s="115" t="n"/>
      <c r="J198" s="115" t="n"/>
      <c r="K198" s="116">
        <f>IF(OR(E198="", F198=""), "", E198*F198)</f>
        <v/>
      </c>
      <c r="L198" s="115" t="n"/>
    </row>
    <row r="199">
      <c r="A199" s="115" t="n"/>
      <c r="B199" s="115" t="n"/>
      <c r="C199" s="115" t="n"/>
      <c r="D199" s="115" t="n"/>
      <c r="E199" s="115" t="n"/>
      <c r="F199" s="115" t="n"/>
      <c r="G199" s="115" t="n"/>
      <c r="H199" s="115" t="n"/>
      <c r="I199" s="115" t="n"/>
      <c r="J199" s="115" t="n"/>
      <c r="K199" s="116">
        <f>IF(OR(E199="", F199=""), "", E199*F199)</f>
        <v/>
      </c>
      <c r="L199" s="115" t="n"/>
    </row>
    <row r="200">
      <c r="A200" s="115" t="n"/>
      <c r="B200" s="115" t="n"/>
      <c r="C200" s="115" t="n"/>
      <c r="D200" s="115" t="n"/>
      <c r="E200" s="115" t="n"/>
      <c r="F200" s="115" t="n"/>
      <c r="G200" s="115" t="n"/>
      <c r="H200" s="115" t="n"/>
      <c r="I200" s="115" t="n"/>
      <c r="J200" s="115" t="n"/>
      <c r="K200" s="116">
        <f>IF(OR(E200="", F200=""), "", E200*F200)</f>
        <v/>
      </c>
      <c r="L200" s="115" t="n"/>
    </row>
    <row r="201">
      <c r="A201" s="115" t="n"/>
      <c r="B201" s="115" t="n"/>
      <c r="C201" s="115" t="n"/>
      <c r="D201" s="115" t="n"/>
      <c r="E201" s="115" t="n"/>
      <c r="F201" s="115" t="n"/>
      <c r="G201" s="115" t="n"/>
      <c r="H201" s="115" t="n"/>
      <c r="I201" s="115" t="n"/>
      <c r="J201" s="115" t="n"/>
      <c r="K201" s="116">
        <f>IF(OR(E201="", F201=""), "", E201*F201)</f>
        <v/>
      </c>
      <c r="L201" s="115" t="n"/>
    </row>
    <row r="202">
      <c r="A202" s="115" t="n"/>
      <c r="B202" s="115" t="n"/>
      <c r="C202" s="115" t="n"/>
      <c r="D202" s="115" t="n"/>
      <c r="E202" s="115" t="n"/>
      <c r="F202" s="115" t="n"/>
      <c r="G202" s="115" t="n"/>
      <c r="H202" s="115" t="n"/>
      <c r="I202" s="115" t="n"/>
      <c r="J202" s="115" t="n"/>
      <c r="K202" s="116">
        <f>IF(OR(E202="", F202=""), "", E202*F202)</f>
        <v/>
      </c>
      <c r="L202" s="115" t="n"/>
    </row>
    <row r="203">
      <c r="A203" s="115" t="n"/>
      <c r="B203" s="115" t="n"/>
      <c r="C203" s="115" t="n"/>
      <c r="D203" s="115" t="n"/>
      <c r="E203" s="115" t="n"/>
      <c r="F203" s="115" t="n"/>
      <c r="G203" s="115" t="n"/>
      <c r="H203" s="115" t="n"/>
      <c r="I203" s="115" t="n"/>
      <c r="J203" s="115" t="n"/>
      <c r="K203" s="116">
        <f>IF(OR(E203="", F203=""), "", E203*F203)</f>
        <v/>
      </c>
      <c r="L203" s="115" t="n"/>
    </row>
    <row r="204">
      <c r="A204" s="115" t="n"/>
      <c r="B204" s="115" t="n"/>
      <c r="C204" s="115" t="n"/>
      <c r="D204" s="115" t="n"/>
      <c r="E204" s="115" t="n"/>
      <c r="F204" s="115" t="n"/>
      <c r="G204" s="115" t="n"/>
      <c r="H204" s="115" t="n"/>
      <c r="I204" s="115" t="n"/>
      <c r="J204" s="115" t="n"/>
      <c r="K204" s="116">
        <f>IF(OR(E204="", F204=""), "", E204*F204)</f>
        <v/>
      </c>
      <c r="L204" s="115" t="n"/>
    </row>
    <row r="205">
      <c r="A205" s="115" t="n"/>
      <c r="B205" s="115" t="n"/>
      <c r="C205" s="115" t="n"/>
      <c r="D205" s="115" t="n"/>
      <c r="E205" s="115" t="n"/>
      <c r="F205" s="115" t="n"/>
      <c r="G205" s="115" t="n"/>
      <c r="H205" s="115" t="n"/>
      <c r="I205" s="115" t="n"/>
      <c r="J205" s="115" t="n"/>
      <c r="K205" s="116">
        <f>IF(OR(E205="", F205=""), "", E205*F205)</f>
        <v/>
      </c>
      <c r="L205" s="115" t="n"/>
    </row>
    <row r="206">
      <c r="A206" s="115" t="n"/>
      <c r="B206" s="115" t="n"/>
      <c r="C206" s="115" t="n"/>
      <c r="D206" s="115" t="n"/>
      <c r="E206" s="115" t="n"/>
      <c r="F206" s="115" t="n"/>
      <c r="G206" s="115" t="n"/>
      <c r="H206" s="115" t="n"/>
      <c r="I206" s="115" t="n"/>
      <c r="J206" s="115" t="n"/>
      <c r="K206" s="116">
        <f>IF(OR(E206="", F206=""), "", E206*F206)</f>
        <v/>
      </c>
      <c r="L206" s="115" t="n"/>
    </row>
    <row r="207">
      <c r="A207" s="115" t="n"/>
      <c r="B207" s="115" t="n"/>
      <c r="C207" s="115" t="n"/>
      <c r="D207" s="115" t="n"/>
      <c r="E207" s="115" t="n"/>
      <c r="F207" s="115" t="n"/>
      <c r="G207" s="115" t="n"/>
      <c r="H207" s="115" t="n"/>
      <c r="I207" s="115" t="n"/>
      <c r="J207" s="115" t="n"/>
      <c r="K207" s="116">
        <f>IF(OR(E207="", F207=""), "", E207*F207)</f>
        <v/>
      </c>
      <c r="L207" s="115" t="n"/>
    </row>
    <row r="208">
      <c r="A208" s="115" t="n"/>
      <c r="B208" s="115" t="n"/>
      <c r="C208" s="115" t="n"/>
      <c r="D208" s="115" t="n"/>
      <c r="E208" s="115" t="n"/>
      <c r="F208" s="115" t="n"/>
      <c r="G208" s="115" t="n"/>
      <c r="H208" s="115" t="n"/>
      <c r="I208" s="115" t="n"/>
      <c r="J208" s="115" t="n"/>
      <c r="K208" s="116">
        <f>IF(OR(E208="", F208=""), "", E208*F208)</f>
        <v/>
      </c>
      <c r="L208" s="115" t="n"/>
    </row>
    <row r="209">
      <c r="A209" s="115" t="n"/>
      <c r="B209" s="115" t="n"/>
      <c r="C209" s="115" t="n"/>
      <c r="D209" s="115" t="n"/>
      <c r="E209" s="115" t="n"/>
      <c r="F209" s="115" t="n"/>
      <c r="G209" s="115" t="n"/>
      <c r="H209" s="115" t="n"/>
      <c r="I209" s="115" t="n"/>
      <c r="J209" s="115" t="n"/>
      <c r="K209" s="116">
        <f>IF(OR(E209="", F209=""), "", E209*F209)</f>
        <v/>
      </c>
      <c r="L209" s="115" t="n"/>
    </row>
    <row r="210">
      <c r="A210" s="115" t="n"/>
      <c r="B210" s="115" t="n"/>
      <c r="C210" s="115" t="n"/>
      <c r="D210" s="115" t="n"/>
      <c r="E210" s="115" t="n"/>
      <c r="F210" s="115" t="n"/>
      <c r="G210" s="115" t="n"/>
      <c r="H210" s="115" t="n"/>
      <c r="I210" s="115" t="n"/>
      <c r="J210" s="115" t="n"/>
      <c r="K210" s="116">
        <f>IF(OR(E210="", F210=""), "", E210*F210)</f>
        <v/>
      </c>
      <c r="L210" s="115" t="n"/>
    </row>
    <row r="211">
      <c r="A211" s="115" t="n"/>
      <c r="B211" s="115" t="n"/>
      <c r="C211" s="115" t="n"/>
      <c r="D211" s="115" t="n"/>
      <c r="E211" s="115" t="n"/>
      <c r="F211" s="115" t="n"/>
      <c r="G211" s="115" t="n"/>
      <c r="H211" s="115" t="n"/>
      <c r="I211" s="115" t="n"/>
      <c r="J211" s="115" t="n"/>
      <c r="K211" s="116">
        <f>IF(OR(E211="", F211=""), "", E211*F211)</f>
        <v/>
      </c>
      <c r="L211" s="115" t="n"/>
    </row>
    <row r="212">
      <c r="A212" s="115" t="n"/>
      <c r="B212" s="115" t="n"/>
      <c r="C212" s="115" t="n"/>
      <c r="D212" s="115" t="n"/>
      <c r="E212" s="115" t="n"/>
      <c r="F212" s="115" t="n"/>
      <c r="G212" s="115" t="n"/>
      <c r="H212" s="115" t="n"/>
      <c r="I212" s="115" t="n"/>
      <c r="J212" s="115" t="n"/>
      <c r="K212" s="116">
        <f>IF(OR(E212="", F212=""), "", E212*F212)</f>
        <v/>
      </c>
      <c r="L212" s="115" t="n"/>
    </row>
    <row r="213">
      <c r="A213" s="115" t="n"/>
      <c r="B213" s="115" t="n"/>
      <c r="C213" s="115" t="n"/>
      <c r="D213" s="115" t="n"/>
      <c r="E213" s="115" t="n"/>
      <c r="F213" s="115" t="n"/>
      <c r="G213" s="115" t="n"/>
      <c r="H213" s="115" t="n"/>
      <c r="I213" s="115" t="n"/>
      <c r="J213" s="115" t="n"/>
      <c r="K213" s="116">
        <f>IF(OR(E213="", F213=""), "", E213*F213)</f>
        <v/>
      </c>
      <c r="L213" s="115" t="n"/>
    </row>
    <row r="214">
      <c r="A214" s="115" t="n"/>
      <c r="B214" s="115" t="n"/>
      <c r="C214" s="115" t="n"/>
      <c r="D214" s="115" t="n"/>
      <c r="E214" s="115" t="n"/>
      <c r="F214" s="115" t="n"/>
      <c r="G214" s="115" t="n"/>
      <c r="H214" s="115" t="n"/>
      <c r="I214" s="115" t="n"/>
      <c r="J214" s="115" t="n"/>
      <c r="K214" s="116">
        <f>IF(OR(E214="", F214=""), "", E214*F214)</f>
        <v/>
      </c>
      <c r="L214" s="115" t="n"/>
    </row>
    <row r="215">
      <c r="A215" s="115" t="n"/>
      <c r="B215" s="115" t="n"/>
      <c r="C215" s="115" t="n"/>
      <c r="D215" s="115" t="n"/>
      <c r="E215" s="115" t="n"/>
      <c r="F215" s="115" t="n"/>
      <c r="G215" s="115" t="n"/>
      <c r="H215" s="115" t="n"/>
      <c r="I215" s="115" t="n"/>
      <c r="J215" s="115" t="n"/>
      <c r="K215" s="116">
        <f>IF(OR(E215="", F215=""), "", E215*F215)</f>
        <v/>
      </c>
      <c r="L215" s="115" t="n"/>
    </row>
    <row r="216">
      <c r="A216" s="115" t="n"/>
      <c r="B216" s="115" t="n"/>
      <c r="C216" s="115" t="n"/>
      <c r="D216" s="115" t="n"/>
      <c r="E216" s="115" t="n"/>
      <c r="F216" s="115" t="n"/>
      <c r="G216" s="115" t="n"/>
      <c r="H216" s="115" t="n"/>
      <c r="I216" s="115" t="n"/>
      <c r="J216" s="115" t="n"/>
      <c r="K216" s="116">
        <f>IF(OR(E216="", F216=""), "", E216*F216)</f>
        <v/>
      </c>
      <c r="L216" s="115" t="n"/>
    </row>
    <row r="217">
      <c r="A217" s="115" t="n"/>
      <c r="B217" s="115" t="n"/>
      <c r="C217" s="115" t="n"/>
      <c r="D217" s="115" t="n"/>
      <c r="E217" s="115" t="n"/>
      <c r="F217" s="115" t="n"/>
      <c r="G217" s="115" t="n"/>
      <c r="H217" s="115" t="n"/>
      <c r="I217" s="115" t="n"/>
      <c r="J217" s="115" t="n"/>
      <c r="K217" s="116">
        <f>IF(OR(E217="", F217=""), "", E217*F217)</f>
        <v/>
      </c>
      <c r="L217" s="115" t="n"/>
    </row>
    <row r="218">
      <c r="A218" s="115" t="n"/>
      <c r="B218" s="115" t="n"/>
      <c r="C218" s="115" t="n"/>
      <c r="D218" s="115" t="n"/>
      <c r="E218" s="115" t="n"/>
      <c r="F218" s="115" t="n"/>
      <c r="G218" s="115" t="n"/>
      <c r="H218" s="115" t="n"/>
      <c r="I218" s="115" t="n"/>
      <c r="J218" s="115" t="n"/>
      <c r="K218" s="116">
        <f>IF(OR(E218="", F218=""), "", E218*F218)</f>
        <v/>
      </c>
      <c r="L218" s="115" t="n"/>
    </row>
    <row r="219">
      <c r="A219" s="115" t="n"/>
      <c r="B219" s="115" t="n"/>
      <c r="C219" s="115" t="n"/>
      <c r="D219" s="115" t="n"/>
      <c r="E219" s="115" t="n"/>
      <c r="F219" s="115" t="n"/>
      <c r="G219" s="115" t="n"/>
      <c r="H219" s="115" t="n"/>
      <c r="I219" s="115" t="n"/>
      <c r="J219" s="115" t="n"/>
      <c r="K219" s="116">
        <f>IF(OR(E219="", F219=""), "", E219*F219)</f>
        <v/>
      </c>
      <c r="L219" s="115" t="n"/>
    </row>
    <row r="220">
      <c r="A220" s="115" t="n"/>
      <c r="B220" s="115" t="n"/>
      <c r="C220" s="115" t="n"/>
      <c r="D220" s="115" t="n"/>
      <c r="E220" s="115" t="n"/>
      <c r="F220" s="115" t="n"/>
      <c r="G220" s="115" t="n"/>
      <c r="H220" s="115" t="n"/>
      <c r="I220" s="115" t="n"/>
      <c r="J220" s="115" t="n"/>
      <c r="K220" s="116">
        <f>IF(OR(E220="", F220=""), "", E220*F220)</f>
        <v/>
      </c>
      <c r="L220" s="115" t="n"/>
    </row>
    <row r="221">
      <c r="A221" s="115" t="n"/>
      <c r="B221" s="115" t="n"/>
      <c r="C221" s="115" t="n"/>
      <c r="D221" s="115" t="n"/>
      <c r="E221" s="115" t="n"/>
      <c r="F221" s="115" t="n"/>
      <c r="G221" s="115" t="n"/>
      <c r="H221" s="115" t="n"/>
      <c r="I221" s="115" t="n"/>
      <c r="J221" s="115" t="n"/>
      <c r="K221" s="116">
        <f>IF(OR(E221="", F221=""), "", E221*F221)</f>
        <v/>
      </c>
      <c r="L221" s="115" t="n"/>
    </row>
    <row r="222">
      <c r="A222" s="115" t="n"/>
      <c r="B222" s="115" t="n"/>
      <c r="C222" s="115" t="n"/>
      <c r="D222" s="115" t="n"/>
      <c r="E222" s="115" t="n"/>
      <c r="F222" s="115" t="n"/>
      <c r="G222" s="115" t="n"/>
      <c r="H222" s="115" t="n"/>
      <c r="I222" s="115" t="n"/>
      <c r="J222" s="115" t="n"/>
      <c r="K222" s="116">
        <f>IF(OR(E222="", F222=""), "", E222*F222)</f>
        <v/>
      </c>
      <c r="L222" s="115" t="n"/>
    </row>
    <row r="223">
      <c r="A223" s="115" t="n"/>
      <c r="B223" s="115" t="n"/>
      <c r="C223" s="115" t="n"/>
      <c r="D223" s="115" t="n"/>
      <c r="E223" s="115" t="n"/>
      <c r="F223" s="115" t="n"/>
      <c r="G223" s="115" t="n"/>
      <c r="H223" s="115" t="n"/>
      <c r="I223" s="115" t="n"/>
      <c r="J223" s="115" t="n"/>
      <c r="K223" s="116">
        <f>IF(OR(E223="", F223=""), "", E223*F223)</f>
        <v/>
      </c>
      <c r="L223" s="115" t="n"/>
    </row>
    <row r="224">
      <c r="A224" s="115" t="n"/>
      <c r="B224" s="115" t="n"/>
      <c r="C224" s="115" t="n"/>
      <c r="D224" s="115" t="n"/>
      <c r="E224" s="115" t="n"/>
      <c r="F224" s="115" t="n"/>
      <c r="G224" s="115" t="n"/>
      <c r="H224" s="115" t="n"/>
      <c r="I224" s="115" t="n"/>
      <c r="J224" s="115" t="n"/>
      <c r="K224" s="116">
        <f>IF(OR(E224="", F224=""), "", E224*F224)</f>
        <v/>
      </c>
      <c r="L224" s="115" t="n"/>
    </row>
    <row r="225">
      <c r="A225" s="115" t="n"/>
      <c r="B225" s="115" t="n"/>
      <c r="C225" s="115" t="n"/>
      <c r="D225" s="115" t="n"/>
      <c r="E225" s="115" t="n"/>
      <c r="F225" s="115" t="n"/>
      <c r="G225" s="115" t="n"/>
      <c r="H225" s="115" t="n"/>
      <c r="I225" s="115" t="n"/>
      <c r="J225" s="115" t="n"/>
      <c r="K225" s="116">
        <f>IF(OR(E225="", F225=""), "", E225*F225)</f>
        <v/>
      </c>
      <c r="L225" s="115" t="n"/>
    </row>
    <row r="226">
      <c r="A226" s="115" t="n"/>
      <c r="B226" s="115" t="n"/>
      <c r="C226" s="115" t="n"/>
      <c r="D226" s="115" t="n"/>
      <c r="E226" s="115" t="n"/>
      <c r="F226" s="115" t="n"/>
      <c r="G226" s="115" t="n"/>
      <c r="H226" s="115" t="n"/>
      <c r="I226" s="115" t="n"/>
      <c r="J226" s="115" t="n"/>
      <c r="K226" s="116">
        <f>IF(OR(E226="", F226=""), "", E226*F226)</f>
        <v/>
      </c>
      <c r="L226" s="115" t="n"/>
    </row>
    <row r="227">
      <c r="A227" s="115" t="n"/>
      <c r="B227" s="115" t="n"/>
      <c r="C227" s="115" t="n"/>
      <c r="D227" s="115" t="n"/>
      <c r="E227" s="115" t="n"/>
      <c r="F227" s="115" t="n"/>
      <c r="G227" s="115" t="n"/>
      <c r="H227" s="115" t="n"/>
      <c r="I227" s="115" t="n"/>
      <c r="J227" s="115" t="n"/>
      <c r="K227" s="116">
        <f>IF(OR(E227="", F227=""), "", E227*F227)</f>
        <v/>
      </c>
      <c r="L227" s="115" t="n"/>
    </row>
    <row r="228">
      <c r="A228" s="115" t="n"/>
      <c r="B228" s="115" t="n"/>
      <c r="C228" s="115" t="n"/>
      <c r="D228" s="115" t="n"/>
      <c r="E228" s="115" t="n"/>
      <c r="F228" s="115" t="n"/>
      <c r="G228" s="115" t="n"/>
      <c r="H228" s="115" t="n"/>
      <c r="I228" s="115" t="n"/>
      <c r="J228" s="115" t="n"/>
      <c r="K228" s="116">
        <f>IF(OR(E228="", F228=""), "", E228*F228)</f>
        <v/>
      </c>
      <c r="L228" s="115" t="n"/>
    </row>
    <row r="229">
      <c r="A229" s="115" t="n"/>
      <c r="B229" s="115" t="n"/>
      <c r="C229" s="115" t="n"/>
      <c r="D229" s="115" t="n"/>
      <c r="E229" s="115" t="n"/>
      <c r="F229" s="115" t="n"/>
      <c r="G229" s="115" t="n"/>
      <c r="H229" s="115" t="n"/>
      <c r="I229" s="115" t="n"/>
      <c r="J229" s="115" t="n"/>
      <c r="K229" s="116">
        <f>IF(OR(E229="", F229=""), "", E229*F229)</f>
        <v/>
      </c>
      <c r="L229" s="115" t="n"/>
    </row>
    <row r="230">
      <c r="A230" s="115" t="n"/>
      <c r="B230" s="115" t="n"/>
      <c r="C230" s="115" t="n"/>
      <c r="D230" s="115" t="n"/>
      <c r="E230" s="115" t="n"/>
      <c r="F230" s="115" t="n"/>
      <c r="G230" s="115" t="n"/>
      <c r="H230" s="115" t="n"/>
      <c r="I230" s="115" t="n"/>
      <c r="J230" s="115" t="n"/>
      <c r="K230" s="116">
        <f>IF(OR(E230="", F230=""), "", E230*F230)</f>
        <v/>
      </c>
      <c r="L230" s="115" t="n"/>
    </row>
    <row r="231">
      <c r="A231" s="115" t="n"/>
      <c r="B231" s="115" t="n"/>
      <c r="C231" s="115" t="n"/>
      <c r="D231" s="115" t="n"/>
      <c r="E231" s="115" t="n"/>
      <c r="F231" s="115" t="n"/>
      <c r="G231" s="115" t="n"/>
      <c r="H231" s="115" t="n"/>
      <c r="I231" s="115" t="n"/>
      <c r="J231" s="115" t="n"/>
      <c r="K231" s="116">
        <f>IF(OR(E231="", F231=""), "", E231*F231)</f>
        <v/>
      </c>
      <c r="L231" s="115" t="n"/>
    </row>
    <row r="232">
      <c r="A232" s="115" t="n"/>
      <c r="B232" s="115" t="n"/>
      <c r="C232" s="115" t="n"/>
      <c r="D232" s="115" t="n"/>
      <c r="E232" s="115" t="n"/>
      <c r="F232" s="115" t="n"/>
      <c r="G232" s="115" t="n"/>
      <c r="H232" s="115" t="n"/>
      <c r="I232" s="115" t="n"/>
      <c r="J232" s="115" t="n"/>
      <c r="K232" s="116">
        <f>IF(OR(E232="", F232=""), "", E232*F232)</f>
        <v/>
      </c>
      <c r="L232" s="115" t="n"/>
    </row>
    <row r="233">
      <c r="A233" s="115" t="n"/>
      <c r="B233" s="115" t="n"/>
      <c r="C233" s="115" t="n"/>
      <c r="D233" s="115" t="n"/>
      <c r="E233" s="115" t="n"/>
      <c r="F233" s="115" t="n"/>
      <c r="G233" s="115" t="n"/>
      <c r="H233" s="115" t="n"/>
      <c r="I233" s="115" t="n"/>
      <c r="J233" s="115" t="n"/>
      <c r="K233" s="116">
        <f>IF(OR(E233="", F233=""), "", E233*F233)</f>
        <v/>
      </c>
      <c r="L233" s="115" t="n"/>
    </row>
    <row r="234">
      <c r="A234" s="115" t="n"/>
      <c r="B234" s="115" t="n"/>
      <c r="C234" s="115" t="n"/>
      <c r="D234" s="115" t="n"/>
      <c r="E234" s="115" t="n"/>
      <c r="F234" s="115" t="n"/>
      <c r="G234" s="115" t="n"/>
      <c r="H234" s="115" t="n"/>
      <c r="I234" s="115" t="n"/>
      <c r="J234" s="115" t="n"/>
      <c r="K234" s="116">
        <f>IF(OR(E234="", F234=""), "", E234*F234)</f>
        <v/>
      </c>
      <c r="L234" s="115" t="n"/>
    </row>
    <row r="235">
      <c r="A235" s="115" t="n"/>
      <c r="B235" s="115" t="n"/>
      <c r="C235" s="115" t="n"/>
      <c r="D235" s="115" t="n"/>
      <c r="E235" s="115" t="n"/>
      <c r="F235" s="115" t="n"/>
      <c r="G235" s="115" t="n"/>
      <c r="H235" s="115" t="n"/>
      <c r="I235" s="115" t="n"/>
      <c r="J235" s="115" t="n"/>
      <c r="K235" s="116">
        <f>IF(OR(E235="", F235=""), "", E235*F235)</f>
        <v/>
      </c>
      <c r="L235" s="115" t="n"/>
    </row>
    <row r="236">
      <c r="A236" s="115" t="n"/>
      <c r="B236" s="115" t="n"/>
      <c r="C236" s="115" t="n"/>
      <c r="D236" s="115" t="n"/>
      <c r="E236" s="115" t="n"/>
      <c r="F236" s="115" t="n"/>
      <c r="G236" s="115" t="n"/>
      <c r="H236" s="115" t="n"/>
      <c r="I236" s="115" t="n"/>
      <c r="J236" s="115" t="n"/>
      <c r="K236" s="116">
        <f>IF(OR(E236="", F236=""), "", E236*F236)</f>
        <v/>
      </c>
      <c r="L236" s="115" t="n"/>
    </row>
    <row r="237">
      <c r="A237" s="115" t="n"/>
      <c r="B237" s="115" t="n"/>
      <c r="C237" s="115" t="n"/>
      <c r="D237" s="115" t="n"/>
      <c r="E237" s="115" t="n"/>
      <c r="F237" s="115" t="n"/>
      <c r="G237" s="115" t="n"/>
      <c r="H237" s="115" t="n"/>
      <c r="I237" s="115" t="n"/>
      <c r="J237" s="115" t="n"/>
      <c r="K237" s="116">
        <f>IF(OR(E237="", F237=""), "", E237*F237)</f>
        <v/>
      </c>
      <c r="L237" s="115" t="n"/>
    </row>
    <row r="238">
      <c r="A238" s="115" t="n"/>
      <c r="B238" s="115" t="n"/>
      <c r="C238" s="115" t="n"/>
      <c r="D238" s="115" t="n"/>
      <c r="E238" s="115" t="n"/>
      <c r="F238" s="115" t="n"/>
      <c r="G238" s="115" t="n"/>
      <c r="H238" s="115" t="n"/>
      <c r="I238" s="115" t="n"/>
      <c r="J238" s="115" t="n"/>
      <c r="K238" s="116">
        <f>IF(OR(E238="", F238=""), "", E238*F238)</f>
        <v/>
      </c>
      <c r="L238" s="115" t="n"/>
    </row>
    <row r="239">
      <c r="A239" s="115" t="n"/>
      <c r="B239" s="115" t="n"/>
      <c r="C239" s="115" t="n"/>
      <c r="D239" s="115" t="n"/>
      <c r="E239" s="115" t="n"/>
      <c r="F239" s="115" t="n"/>
      <c r="G239" s="115" t="n"/>
      <c r="H239" s="115" t="n"/>
      <c r="I239" s="115" t="n"/>
      <c r="J239" s="115" t="n"/>
      <c r="K239" s="116">
        <f>IF(OR(E239="", F239=""), "", E239*F239)</f>
        <v/>
      </c>
      <c r="L239" s="115" t="n"/>
    </row>
    <row r="240">
      <c r="A240" s="115" t="n"/>
      <c r="B240" s="115" t="n"/>
      <c r="C240" s="115" t="n"/>
      <c r="D240" s="115" t="n"/>
      <c r="E240" s="115" t="n"/>
      <c r="F240" s="115" t="n"/>
      <c r="G240" s="115" t="n"/>
      <c r="H240" s="115" t="n"/>
      <c r="I240" s="115" t="n"/>
      <c r="J240" s="115" t="n"/>
      <c r="K240" s="116">
        <f>IF(OR(E240="", F240=""), "", E240*F240)</f>
        <v/>
      </c>
      <c r="L240" s="115" t="n"/>
    </row>
    <row r="241">
      <c r="A241" s="115" t="n"/>
      <c r="B241" s="115" t="n"/>
      <c r="C241" s="115" t="n"/>
      <c r="D241" s="115" t="n"/>
      <c r="E241" s="115" t="n"/>
      <c r="F241" s="115" t="n"/>
      <c r="G241" s="115" t="n"/>
      <c r="H241" s="115" t="n"/>
      <c r="I241" s="115" t="n"/>
      <c r="J241" s="115" t="n"/>
      <c r="K241" s="116">
        <f>IF(OR(E241="", F241=""), "", E241*F241)</f>
        <v/>
      </c>
      <c r="L241" s="115" t="n"/>
    </row>
    <row r="242">
      <c r="A242" s="115" t="n"/>
      <c r="B242" s="115" t="n"/>
      <c r="C242" s="115" t="n"/>
      <c r="D242" s="115" t="n"/>
      <c r="E242" s="115" t="n"/>
      <c r="F242" s="115" t="n"/>
      <c r="G242" s="115" t="n"/>
      <c r="H242" s="115" t="n"/>
      <c r="I242" s="115" t="n"/>
      <c r="J242" s="115" t="n"/>
      <c r="K242" s="116">
        <f>IF(OR(E242="", F242=""), "", E242*F242)</f>
        <v/>
      </c>
      <c r="L242" s="115" t="n"/>
    </row>
    <row r="243">
      <c r="A243" s="115" t="n"/>
      <c r="B243" s="115" t="n"/>
      <c r="C243" s="115" t="n"/>
      <c r="D243" s="115" t="n"/>
      <c r="E243" s="115" t="n"/>
      <c r="F243" s="115" t="n"/>
      <c r="G243" s="115" t="n"/>
      <c r="H243" s="115" t="n"/>
      <c r="I243" s="115" t="n"/>
      <c r="J243" s="115" t="n"/>
      <c r="K243" s="116">
        <f>IF(OR(E243="", F243=""), "", E243*F243)</f>
        <v/>
      </c>
      <c r="L243" s="115" t="n"/>
    </row>
    <row r="244">
      <c r="A244" s="115" t="n"/>
      <c r="B244" s="115" t="n"/>
      <c r="C244" s="115" t="n"/>
      <c r="D244" s="115" t="n"/>
      <c r="E244" s="115" t="n"/>
      <c r="F244" s="115" t="n"/>
      <c r="G244" s="115" t="n"/>
      <c r="H244" s="115" t="n"/>
      <c r="I244" s="115" t="n"/>
      <c r="J244" s="115" t="n"/>
      <c r="K244" s="116">
        <f>IF(OR(E244="", F244=""), "", E244*F244)</f>
        <v/>
      </c>
      <c r="L244" s="115" t="n"/>
    </row>
    <row r="245">
      <c r="A245" s="115" t="n"/>
      <c r="B245" s="115" t="n"/>
      <c r="C245" s="115" t="n"/>
      <c r="D245" s="115" t="n"/>
      <c r="E245" s="115" t="n"/>
      <c r="F245" s="115" t="n"/>
      <c r="G245" s="115" t="n"/>
      <c r="H245" s="115" t="n"/>
      <c r="I245" s="115" t="n"/>
      <c r="J245" s="115" t="n"/>
      <c r="K245" s="116">
        <f>IF(OR(E245="", F245=""), "", E245*F245)</f>
        <v/>
      </c>
      <c r="L245" s="115" t="n"/>
    </row>
    <row r="246">
      <c r="A246" s="115" t="n"/>
      <c r="B246" s="115" t="n"/>
      <c r="C246" s="115" t="n"/>
      <c r="D246" s="115" t="n"/>
      <c r="E246" s="115" t="n"/>
      <c r="F246" s="115" t="n"/>
      <c r="G246" s="115" t="n"/>
      <c r="H246" s="115" t="n"/>
      <c r="I246" s="115" t="n"/>
      <c r="J246" s="115" t="n"/>
      <c r="K246" s="116">
        <f>IF(OR(E246="", F246=""), "", E246*F246)</f>
        <v/>
      </c>
      <c r="L246" s="115" t="n"/>
    </row>
    <row r="247">
      <c r="A247" s="115" t="n"/>
      <c r="B247" s="115" t="n"/>
      <c r="C247" s="115" t="n"/>
      <c r="D247" s="115" t="n"/>
      <c r="E247" s="115" t="n"/>
      <c r="F247" s="115" t="n"/>
      <c r="G247" s="115" t="n"/>
      <c r="H247" s="115" t="n"/>
      <c r="I247" s="115" t="n"/>
      <c r="J247" s="115" t="n"/>
      <c r="K247" s="116">
        <f>IF(OR(E247="", F247=""), "", E247*F247)</f>
        <v/>
      </c>
      <c r="L247" s="115" t="n"/>
    </row>
    <row r="248">
      <c r="A248" s="115" t="n"/>
      <c r="B248" s="115" t="n"/>
      <c r="C248" s="115" t="n"/>
      <c r="D248" s="115" t="n"/>
      <c r="E248" s="115" t="n"/>
      <c r="F248" s="115" t="n"/>
      <c r="G248" s="115" t="n"/>
      <c r="H248" s="115" t="n"/>
      <c r="I248" s="115" t="n"/>
      <c r="J248" s="115" t="n"/>
      <c r="K248" s="116">
        <f>IF(OR(E248="", F248=""), "", E248*F248)</f>
        <v/>
      </c>
      <c r="L248" s="115" t="n"/>
    </row>
    <row r="249">
      <c r="A249" s="115" t="n"/>
      <c r="B249" s="115" t="n"/>
      <c r="C249" s="115" t="n"/>
      <c r="D249" s="115" t="n"/>
      <c r="E249" s="115" t="n"/>
      <c r="F249" s="115" t="n"/>
      <c r="G249" s="115" t="n"/>
      <c r="H249" s="115" t="n"/>
      <c r="I249" s="115" t="n"/>
      <c r="J249" s="115" t="n"/>
      <c r="K249" s="116">
        <f>IF(OR(E249="", F249=""), "", E249*F249)</f>
        <v/>
      </c>
      <c r="L249" s="115" t="n"/>
    </row>
    <row r="250">
      <c r="A250" s="115" t="n"/>
      <c r="B250" s="115" t="n"/>
      <c r="C250" s="115" t="n"/>
      <c r="D250" s="115" t="n"/>
      <c r="E250" s="115" t="n"/>
      <c r="F250" s="115" t="n"/>
      <c r="G250" s="115" t="n"/>
      <c r="H250" s="115" t="n"/>
      <c r="I250" s="115" t="n"/>
      <c r="J250" s="115" t="n"/>
      <c r="K250" s="116">
        <f>IF(OR(E250="", F250=""), "", E250*F250)</f>
        <v/>
      </c>
      <c r="L250" s="115" t="n"/>
    </row>
    <row r="251">
      <c r="A251" s="115" t="n"/>
      <c r="B251" s="115" t="n"/>
      <c r="C251" s="115" t="n"/>
      <c r="D251" s="115" t="n"/>
      <c r="E251" s="115" t="n"/>
      <c r="F251" s="115" t="n"/>
      <c r="G251" s="115" t="n"/>
      <c r="H251" s="115" t="n"/>
      <c r="I251" s="115" t="n"/>
      <c r="J251" s="115" t="n"/>
      <c r="K251" s="116">
        <f>IF(OR(E251="", F251=""), "", E251*F251)</f>
        <v/>
      </c>
      <c r="L251" s="115" t="n"/>
    </row>
    <row r="252">
      <c r="A252" s="115" t="n"/>
      <c r="B252" s="115" t="n"/>
      <c r="C252" s="115" t="n"/>
      <c r="D252" s="115" t="n"/>
      <c r="E252" s="115" t="n"/>
      <c r="F252" s="115" t="n"/>
      <c r="G252" s="115" t="n"/>
      <c r="H252" s="115" t="n"/>
      <c r="I252" s="115" t="n"/>
      <c r="J252" s="115" t="n"/>
      <c r="K252" s="116">
        <f>IF(OR(E252="", F252=""), "", E252*F252)</f>
        <v/>
      </c>
      <c r="L252" s="115" t="n"/>
    </row>
    <row r="253">
      <c r="A253" s="115" t="n"/>
      <c r="B253" s="115" t="n"/>
      <c r="C253" s="115" t="n"/>
      <c r="D253" s="115" t="n"/>
      <c r="E253" s="115" t="n"/>
      <c r="F253" s="115" t="n"/>
      <c r="G253" s="115" t="n"/>
      <c r="H253" s="115" t="n"/>
      <c r="I253" s="115" t="n"/>
      <c r="J253" s="115" t="n"/>
      <c r="K253" s="116">
        <f>IF(OR(E253="", F253=""), "", E253*F253)</f>
        <v/>
      </c>
      <c r="L253" s="115" t="n"/>
    </row>
    <row r="254">
      <c r="A254" s="115" t="n"/>
      <c r="B254" s="115" t="n"/>
      <c r="C254" s="115" t="n"/>
      <c r="D254" s="115" t="n"/>
      <c r="E254" s="115" t="n"/>
      <c r="F254" s="115" t="n"/>
      <c r="G254" s="115" t="n"/>
      <c r="H254" s="115" t="n"/>
      <c r="I254" s="115" t="n"/>
      <c r="J254" s="115" t="n"/>
      <c r="K254" s="116">
        <f>IF(OR(E254="", F254=""), "", E254*F254)</f>
        <v/>
      </c>
      <c r="L254" s="115" t="n"/>
    </row>
    <row r="255">
      <c r="A255" s="115" t="n"/>
      <c r="B255" s="115" t="n"/>
      <c r="C255" s="115" t="n"/>
      <c r="D255" s="115" t="n"/>
      <c r="E255" s="115" t="n"/>
      <c r="F255" s="115" t="n"/>
      <c r="G255" s="115" t="n"/>
      <c r="H255" s="115" t="n"/>
      <c r="I255" s="115" t="n"/>
      <c r="J255" s="115" t="n"/>
      <c r="K255" s="116">
        <f>IF(OR(E255="", F255=""), "", E255*F255)</f>
        <v/>
      </c>
      <c r="L255" s="115" t="n"/>
    </row>
    <row r="256">
      <c r="A256" s="115" t="n"/>
      <c r="B256" s="115" t="n"/>
      <c r="C256" s="115" t="n"/>
      <c r="D256" s="115" t="n"/>
      <c r="E256" s="115" t="n"/>
      <c r="F256" s="115" t="n"/>
      <c r="G256" s="115" t="n"/>
      <c r="H256" s="115" t="n"/>
      <c r="I256" s="115" t="n"/>
      <c r="J256" s="115" t="n"/>
      <c r="K256" s="116">
        <f>IF(OR(E256="", F256=""), "", E256*F256)</f>
        <v/>
      </c>
      <c r="L256" s="115" t="n"/>
    </row>
    <row r="257">
      <c r="A257" s="115" t="n"/>
      <c r="B257" s="115" t="n"/>
      <c r="C257" s="115" t="n"/>
      <c r="D257" s="115" t="n"/>
      <c r="E257" s="115" t="n"/>
      <c r="F257" s="115" t="n"/>
      <c r="G257" s="115" t="n"/>
      <c r="H257" s="115" t="n"/>
      <c r="I257" s="115" t="n"/>
      <c r="J257" s="115" t="n"/>
      <c r="K257" s="116">
        <f>IF(OR(E257="", F257=""), "", E257*F257)</f>
        <v/>
      </c>
      <c r="L257" s="115" t="n"/>
    </row>
    <row r="258">
      <c r="A258" s="115" t="n"/>
      <c r="B258" s="115" t="n"/>
      <c r="C258" s="115" t="n"/>
      <c r="D258" s="115" t="n"/>
      <c r="E258" s="115" t="n"/>
      <c r="F258" s="115" t="n"/>
      <c r="G258" s="115" t="n"/>
      <c r="H258" s="115" t="n"/>
      <c r="I258" s="115" t="n"/>
      <c r="J258" s="115" t="n"/>
      <c r="K258" s="116">
        <f>IF(OR(E258="", F258=""), "", E258*F258)</f>
        <v/>
      </c>
      <c r="L258" s="115" t="n"/>
    </row>
    <row r="259">
      <c r="A259" s="115" t="n"/>
      <c r="B259" s="115" t="n"/>
      <c r="C259" s="115" t="n"/>
      <c r="D259" s="115" t="n"/>
      <c r="E259" s="115" t="n"/>
      <c r="F259" s="115" t="n"/>
      <c r="G259" s="115" t="n"/>
      <c r="H259" s="115" t="n"/>
      <c r="I259" s="115" t="n"/>
      <c r="J259" s="115" t="n"/>
      <c r="K259" s="116">
        <f>IF(OR(E259="", F259=""), "", E259*F259)</f>
        <v/>
      </c>
      <c r="L259" s="115" t="n"/>
    </row>
    <row r="260">
      <c r="A260" s="115" t="n"/>
      <c r="B260" s="115" t="n"/>
      <c r="C260" s="115" t="n"/>
      <c r="D260" s="115" t="n"/>
      <c r="E260" s="115" t="n"/>
      <c r="F260" s="115" t="n"/>
      <c r="G260" s="115" t="n"/>
      <c r="H260" s="115" t="n"/>
      <c r="I260" s="115" t="n"/>
      <c r="J260" s="115" t="n"/>
      <c r="K260" s="116">
        <f>IF(OR(E260="", F260=""), "", E260*F260)</f>
        <v/>
      </c>
      <c r="L260" s="115" t="n"/>
    </row>
    <row r="261">
      <c r="A261" s="115" t="n"/>
      <c r="B261" s="115" t="n"/>
      <c r="C261" s="115" t="n"/>
      <c r="D261" s="115" t="n"/>
      <c r="E261" s="115" t="n"/>
      <c r="F261" s="115" t="n"/>
      <c r="G261" s="115" t="n"/>
      <c r="H261" s="115" t="n"/>
      <c r="I261" s="115" t="n"/>
      <c r="J261" s="115" t="n"/>
      <c r="K261" s="116">
        <f>IF(OR(E261="", F261=""), "", E261*F261)</f>
        <v/>
      </c>
      <c r="L261" s="115" t="n"/>
    </row>
    <row r="262">
      <c r="A262" s="115" t="n"/>
      <c r="B262" s="115" t="n"/>
      <c r="C262" s="115" t="n"/>
      <c r="D262" s="115" t="n"/>
      <c r="E262" s="115" t="n"/>
      <c r="F262" s="115" t="n"/>
      <c r="G262" s="115" t="n"/>
      <c r="H262" s="115" t="n"/>
      <c r="I262" s="115" t="n"/>
      <c r="J262" s="115" t="n"/>
      <c r="K262" s="116">
        <f>IF(OR(E262="", F262=""), "", E262*F262)</f>
        <v/>
      </c>
      <c r="L262" s="115" t="n"/>
    </row>
    <row r="263">
      <c r="A263" s="115" t="n"/>
      <c r="B263" s="115" t="n"/>
      <c r="C263" s="115" t="n"/>
      <c r="D263" s="115" t="n"/>
      <c r="E263" s="115" t="n"/>
      <c r="F263" s="115" t="n"/>
      <c r="G263" s="115" t="n"/>
      <c r="H263" s="115" t="n"/>
      <c r="I263" s="115" t="n"/>
      <c r="J263" s="115" t="n"/>
      <c r="K263" s="116">
        <f>IF(OR(E263="", F263=""), "", E263*F263)</f>
        <v/>
      </c>
      <c r="L263" s="115" t="n"/>
    </row>
    <row r="264">
      <c r="A264" s="115" t="n"/>
      <c r="B264" s="115" t="n"/>
      <c r="C264" s="115" t="n"/>
      <c r="D264" s="115" t="n"/>
      <c r="E264" s="115" t="n"/>
      <c r="F264" s="115" t="n"/>
      <c r="G264" s="115" t="n"/>
      <c r="H264" s="115" t="n"/>
      <c r="I264" s="115" t="n"/>
      <c r="J264" s="115" t="n"/>
      <c r="K264" s="116">
        <f>IF(OR(E264="", F264=""), "", E264*F264)</f>
        <v/>
      </c>
      <c r="L264" s="115" t="n"/>
    </row>
    <row r="265">
      <c r="A265" s="115" t="n"/>
      <c r="B265" s="115" t="n"/>
      <c r="C265" s="115" t="n"/>
      <c r="D265" s="115" t="n"/>
      <c r="E265" s="115" t="n"/>
      <c r="F265" s="115" t="n"/>
      <c r="G265" s="115" t="n"/>
      <c r="H265" s="115" t="n"/>
      <c r="I265" s="115" t="n"/>
      <c r="J265" s="115" t="n"/>
      <c r="K265" s="116">
        <f>IF(OR(E265="", F265=""), "", E265*F265)</f>
        <v/>
      </c>
      <c r="L265" s="115" t="n"/>
    </row>
    <row r="266">
      <c r="A266" s="115" t="n"/>
      <c r="B266" s="115" t="n"/>
      <c r="C266" s="115" t="n"/>
      <c r="D266" s="115" t="n"/>
      <c r="E266" s="115" t="n"/>
      <c r="F266" s="115" t="n"/>
      <c r="G266" s="115" t="n"/>
      <c r="H266" s="115" t="n"/>
      <c r="I266" s="115" t="n"/>
      <c r="J266" s="115" t="n"/>
      <c r="K266" s="116">
        <f>IF(OR(E266="", F266=""), "", E266*F266)</f>
        <v/>
      </c>
      <c r="L266" s="115" t="n"/>
    </row>
    <row r="267">
      <c r="A267" s="115" t="n"/>
      <c r="B267" s="115" t="n"/>
      <c r="C267" s="115" t="n"/>
      <c r="D267" s="115" t="n"/>
      <c r="E267" s="115" t="n"/>
      <c r="F267" s="115" t="n"/>
      <c r="G267" s="115" t="n"/>
      <c r="H267" s="115" t="n"/>
      <c r="I267" s="115" t="n"/>
      <c r="J267" s="115" t="n"/>
      <c r="K267" s="116">
        <f>IF(OR(E267="", F267=""), "", E267*F267)</f>
        <v/>
      </c>
      <c r="L267" s="115" t="n"/>
    </row>
    <row r="268">
      <c r="A268" s="115" t="n"/>
      <c r="B268" s="115" t="n"/>
      <c r="C268" s="115" t="n"/>
      <c r="D268" s="115" t="n"/>
      <c r="E268" s="115" t="n"/>
      <c r="F268" s="115" t="n"/>
      <c r="G268" s="115" t="n"/>
      <c r="H268" s="115" t="n"/>
      <c r="I268" s="115" t="n"/>
      <c r="J268" s="115" t="n"/>
      <c r="K268" s="116">
        <f>IF(OR(E268="", F268=""), "", E268*F268)</f>
        <v/>
      </c>
      <c r="L268" s="115" t="n"/>
    </row>
    <row r="269">
      <c r="A269" s="115" t="n"/>
      <c r="B269" s="115" t="n"/>
      <c r="C269" s="115" t="n"/>
      <c r="D269" s="115" t="n"/>
      <c r="E269" s="115" t="n"/>
      <c r="F269" s="115" t="n"/>
      <c r="G269" s="115" t="n"/>
      <c r="H269" s="115" t="n"/>
      <c r="I269" s="115" t="n"/>
      <c r="J269" s="115" t="n"/>
      <c r="K269" s="116">
        <f>IF(OR(E269="", F269=""), "", E269*F269)</f>
        <v/>
      </c>
      <c r="L269" s="115" t="n"/>
    </row>
    <row r="270">
      <c r="A270" s="115" t="n"/>
      <c r="B270" s="115" t="n"/>
      <c r="C270" s="115" t="n"/>
      <c r="D270" s="115" t="n"/>
      <c r="E270" s="115" t="n"/>
      <c r="F270" s="115" t="n"/>
      <c r="G270" s="115" t="n"/>
      <c r="H270" s="115" t="n"/>
      <c r="I270" s="115" t="n"/>
      <c r="J270" s="115" t="n"/>
      <c r="K270" s="116">
        <f>IF(OR(E270="", F270=""), "", E270*F270)</f>
        <v/>
      </c>
      <c r="L270" s="115" t="n"/>
    </row>
    <row r="271">
      <c r="A271" s="115" t="n"/>
      <c r="B271" s="115" t="n"/>
      <c r="C271" s="115" t="n"/>
      <c r="D271" s="115" t="n"/>
      <c r="E271" s="115" t="n"/>
      <c r="F271" s="115" t="n"/>
      <c r="G271" s="115" t="n"/>
      <c r="H271" s="115" t="n"/>
      <c r="I271" s="115" t="n"/>
      <c r="J271" s="115" t="n"/>
      <c r="K271" s="116">
        <f>IF(OR(E271="", F271=""), "", E271*F271)</f>
        <v/>
      </c>
      <c r="L271" s="115" t="n"/>
    </row>
    <row r="272">
      <c r="A272" s="115" t="n"/>
      <c r="B272" s="115" t="n"/>
      <c r="C272" s="115" t="n"/>
      <c r="D272" s="115" t="n"/>
      <c r="E272" s="115" t="n"/>
      <c r="F272" s="115" t="n"/>
      <c r="G272" s="115" t="n"/>
      <c r="H272" s="115" t="n"/>
      <c r="I272" s="115" t="n"/>
      <c r="J272" s="115" t="n"/>
      <c r="K272" s="116">
        <f>IF(OR(E272="", F272=""), "", E272*F272)</f>
        <v/>
      </c>
      <c r="L272" s="115" t="n"/>
    </row>
    <row r="273">
      <c r="A273" s="115" t="n"/>
      <c r="B273" s="115" t="n"/>
      <c r="C273" s="115" t="n"/>
      <c r="D273" s="115" t="n"/>
      <c r="E273" s="115" t="n"/>
      <c r="F273" s="115" t="n"/>
      <c r="G273" s="115" t="n"/>
      <c r="H273" s="115" t="n"/>
      <c r="I273" s="115" t="n"/>
      <c r="J273" s="115" t="n"/>
      <c r="K273" s="116">
        <f>IF(OR(E273="", F273=""), "", E273*F273)</f>
        <v/>
      </c>
      <c r="L273" s="115" t="n"/>
    </row>
    <row r="274">
      <c r="A274" s="115" t="n"/>
      <c r="B274" s="115" t="n"/>
      <c r="C274" s="115" t="n"/>
      <c r="D274" s="115" t="n"/>
      <c r="E274" s="115" t="n"/>
      <c r="F274" s="115" t="n"/>
      <c r="G274" s="115" t="n"/>
      <c r="H274" s="115" t="n"/>
      <c r="I274" s="115" t="n"/>
      <c r="J274" s="115" t="n"/>
      <c r="K274" s="116">
        <f>IF(OR(E274="", F274=""), "", E274*F274)</f>
        <v/>
      </c>
      <c r="L274" s="115" t="n"/>
    </row>
    <row r="275">
      <c r="A275" s="115" t="n"/>
      <c r="B275" s="115" t="n"/>
      <c r="C275" s="115" t="n"/>
      <c r="D275" s="115" t="n"/>
      <c r="E275" s="115" t="n"/>
      <c r="F275" s="115" t="n"/>
      <c r="G275" s="115" t="n"/>
      <c r="H275" s="115" t="n"/>
      <c r="I275" s="115" t="n"/>
      <c r="J275" s="115" t="n"/>
      <c r="K275" s="116">
        <f>IF(OR(E275="", F275=""), "", E275*F275)</f>
        <v/>
      </c>
      <c r="L275" s="115" t="n"/>
    </row>
    <row r="276">
      <c r="A276" s="115" t="n"/>
      <c r="B276" s="115" t="n"/>
      <c r="C276" s="115" t="n"/>
      <c r="D276" s="115" t="n"/>
      <c r="E276" s="115" t="n"/>
      <c r="F276" s="115" t="n"/>
      <c r="G276" s="115" t="n"/>
      <c r="H276" s="115" t="n"/>
      <c r="I276" s="115" t="n"/>
      <c r="J276" s="115" t="n"/>
      <c r="K276" s="116">
        <f>IF(OR(E276="", F276=""), "", E276*F276)</f>
        <v/>
      </c>
      <c r="L276" s="115" t="n"/>
    </row>
    <row r="277">
      <c r="A277" s="115" t="n"/>
      <c r="B277" s="115" t="n"/>
      <c r="C277" s="115" t="n"/>
      <c r="D277" s="115" t="n"/>
      <c r="E277" s="115" t="n"/>
      <c r="F277" s="115" t="n"/>
      <c r="G277" s="115" t="n"/>
      <c r="H277" s="115" t="n"/>
      <c r="I277" s="115" t="n"/>
      <c r="J277" s="115" t="n"/>
      <c r="K277" s="116">
        <f>IF(OR(E277="", F277=""), "", E277*F277)</f>
        <v/>
      </c>
      <c r="L277" s="115" t="n"/>
    </row>
    <row r="278">
      <c r="A278" s="115" t="n"/>
      <c r="B278" s="115" t="n"/>
      <c r="C278" s="115" t="n"/>
      <c r="D278" s="115" t="n"/>
      <c r="E278" s="115" t="n"/>
      <c r="F278" s="115" t="n"/>
      <c r="G278" s="115" t="n"/>
      <c r="H278" s="115" t="n"/>
      <c r="I278" s="115" t="n"/>
      <c r="J278" s="115" t="n"/>
      <c r="K278" s="116">
        <f>IF(OR(E278="", F278=""), "", E278*F278)</f>
        <v/>
      </c>
      <c r="L278" s="115" t="n"/>
    </row>
    <row r="279">
      <c r="A279" s="115" t="n"/>
      <c r="B279" s="115" t="n"/>
      <c r="C279" s="115" t="n"/>
      <c r="D279" s="115" t="n"/>
      <c r="E279" s="115" t="n"/>
      <c r="F279" s="115" t="n"/>
      <c r="G279" s="115" t="n"/>
      <c r="H279" s="115" t="n"/>
      <c r="I279" s="115" t="n"/>
      <c r="J279" s="115" t="n"/>
      <c r="K279" s="116">
        <f>IF(OR(E279="", F279=""), "", E279*F279)</f>
        <v/>
      </c>
      <c r="L279" s="115" t="n"/>
    </row>
    <row r="280">
      <c r="A280" s="115" t="n"/>
      <c r="B280" s="115" t="n"/>
      <c r="C280" s="115" t="n"/>
      <c r="D280" s="115" t="n"/>
      <c r="E280" s="115" t="n"/>
      <c r="F280" s="115" t="n"/>
      <c r="G280" s="115" t="n"/>
      <c r="H280" s="115" t="n"/>
      <c r="I280" s="115" t="n"/>
      <c r="J280" s="115" t="n"/>
      <c r="K280" s="116">
        <f>IF(OR(E280="", F280=""), "", E280*F280)</f>
        <v/>
      </c>
      <c r="L280" s="115" t="n"/>
    </row>
    <row r="281">
      <c r="A281" s="115" t="n"/>
      <c r="B281" s="115" t="n"/>
      <c r="C281" s="115" t="n"/>
      <c r="D281" s="115" t="n"/>
      <c r="E281" s="115" t="n"/>
      <c r="F281" s="115" t="n"/>
      <c r="G281" s="115" t="n"/>
      <c r="H281" s="115" t="n"/>
      <c r="I281" s="115" t="n"/>
      <c r="J281" s="115" t="n"/>
      <c r="K281" s="116">
        <f>IF(OR(E281="", F281=""), "", E281*F281)</f>
        <v/>
      </c>
      <c r="L281" s="115" t="n"/>
    </row>
    <row r="282">
      <c r="A282" s="115" t="n"/>
      <c r="B282" s="115" t="n"/>
      <c r="C282" s="115" t="n"/>
      <c r="D282" s="115" t="n"/>
      <c r="E282" s="115" t="n"/>
      <c r="F282" s="115" t="n"/>
      <c r="G282" s="115" t="n"/>
      <c r="H282" s="115" t="n"/>
      <c r="I282" s="115" t="n"/>
      <c r="J282" s="115" t="n"/>
      <c r="K282" s="116">
        <f>IF(OR(E282="", F282=""), "", E282*F282)</f>
        <v/>
      </c>
      <c r="L282" s="115" t="n"/>
    </row>
    <row r="283">
      <c r="A283" s="115" t="n"/>
      <c r="B283" s="115" t="n"/>
      <c r="C283" s="115" t="n"/>
      <c r="D283" s="115" t="n"/>
      <c r="E283" s="115" t="n"/>
      <c r="F283" s="115" t="n"/>
      <c r="G283" s="115" t="n"/>
      <c r="H283" s="115" t="n"/>
      <c r="I283" s="115" t="n"/>
      <c r="J283" s="115" t="n"/>
      <c r="K283" s="116">
        <f>IF(OR(E283="", F283=""), "", E283*F283)</f>
        <v/>
      </c>
      <c r="L283" s="115" t="n"/>
    </row>
    <row r="284">
      <c r="A284" s="115" t="n"/>
      <c r="B284" s="115" t="n"/>
      <c r="C284" s="115" t="n"/>
      <c r="D284" s="115" t="n"/>
      <c r="E284" s="115" t="n"/>
      <c r="F284" s="115" t="n"/>
      <c r="G284" s="115" t="n"/>
      <c r="H284" s="115" t="n"/>
      <c r="I284" s="115" t="n"/>
      <c r="J284" s="115" t="n"/>
      <c r="K284" s="116">
        <f>IF(OR(E284="", F284=""), "", E284*F284)</f>
        <v/>
      </c>
      <c r="L284" s="115" t="n"/>
    </row>
    <row r="285">
      <c r="A285" s="115" t="n"/>
      <c r="B285" s="115" t="n"/>
      <c r="C285" s="115" t="n"/>
      <c r="D285" s="115" t="n"/>
      <c r="E285" s="115" t="n"/>
      <c r="F285" s="115" t="n"/>
      <c r="G285" s="115" t="n"/>
      <c r="H285" s="115" t="n"/>
      <c r="I285" s="115" t="n"/>
      <c r="J285" s="115" t="n"/>
      <c r="K285" s="116">
        <f>IF(OR(E285="", F285=""), "", E285*F285)</f>
        <v/>
      </c>
      <c r="L285" s="115" t="n"/>
    </row>
    <row r="286">
      <c r="A286" s="115" t="n"/>
      <c r="B286" s="115" t="n"/>
      <c r="C286" s="115" t="n"/>
      <c r="D286" s="115" t="n"/>
      <c r="E286" s="115" t="n"/>
      <c r="F286" s="115" t="n"/>
      <c r="G286" s="115" t="n"/>
      <c r="H286" s="115" t="n"/>
      <c r="I286" s="115" t="n"/>
      <c r="J286" s="115" t="n"/>
      <c r="K286" s="116">
        <f>IF(OR(E286="", F286=""), "", E286*F286)</f>
        <v/>
      </c>
      <c r="L286" s="115" t="n"/>
    </row>
    <row r="287">
      <c r="A287" s="115" t="n"/>
      <c r="B287" s="115" t="n"/>
      <c r="C287" s="115" t="n"/>
      <c r="D287" s="115" t="n"/>
      <c r="E287" s="115" t="n"/>
      <c r="F287" s="115" t="n"/>
      <c r="G287" s="115" t="n"/>
      <c r="H287" s="115" t="n"/>
      <c r="I287" s="115" t="n"/>
      <c r="J287" s="115" t="n"/>
      <c r="K287" s="116">
        <f>IF(OR(E287="", F287=""), "", E287*F287)</f>
        <v/>
      </c>
      <c r="L287" s="115" t="n"/>
    </row>
    <row r="288">
      <c r="A288" s="115" t="n"/>
      <c r="B288" s="115" t="n"/>
      <c r="C288" s="115" t="n"/>
      <c r="D288" s="115" t="n"/>
      <c r="E288" s="115" t="n"/>
      <c r="F288" s="115" t="n"/>
      <c r="G288" s="115" t="n"/>
      <c r="H288" s="115" t="n"/>
      <c r="I288" s="115" t="n"/>
      <c r="J288" s="115" t="n"/>
      <c r="K288" s="116">
        <f>IF(OR(E288="", F288=""), "", E288*F288)</f>
        <v/>
      </c>
      <c r="L288" s="115" t="n"/>
    </row>
    <row r="289">
      <c r="A289" s="115" t="n"/>
      <c r="B289" s="115" t="n"/>
      <c r="C289" s="115" t="n"/>
      <c r="D289" s="115" t="n"/>
      <c r="E289" s="115" t="n"/>
      <c r="F289" s="115" t="n"/>
      <c r="G289" s="115" t="n"/>
      <c r="H289" s="115" t="n"/>
      <c r="I289" s="115" t="n"/>
      <c r="J289" s="115" t="n"/>
      <c r="K289" s="116">
        <f>IF(OR(E289="", F289=""), "", E289*F289)</f>
        <v/>
      </c>
      <c r="L289" s="115" t="n"/>
    </row>
    <row r="290">
      <c r="A290" s="115" t="n"/>
      <c r="B290" s="115" t="n"/>
      <c r="C290" s="115" t="n"/>
      <c r="D290" s="115" t="n"/>
      <c r="E290" s="115" t="n"/>
      <c r="F290" s="115" t="n"/>
      <c r="G290" s="115" t="n"/>
      <c r="H290" s="115" t="n"/>
      <c r="I290" s="115" t="n"/>
      <c r="J290" s="115" t="n"/>
      <c r="K290" s="116">
        <f>IF(OR(E290="", F290=""), "", E290*F290)</f>
        <v/>
      </c>
      <c r="L290" s="115" t="n"/>
    </row>
    <row r="291">
      <c r="A291" s="115" t="n"/>
      <c r="B291" s="115" t="n"/>
      <c r="C291" s="115" t="n"/>
      <c r="D291" s="115" t="n"/>
      <c r="E291" s="115" t="n"/>
      <c r="F291" s="115" t="n"/>
      <c r="G291" s="115" t="n"/>
      <c r="H291" s="115" t="n"/>
      <c r="I291" s="115" t="n"/>
      <c r="J291" s="115" t="n"/>
      <c r="K291" s="116">
        <f>IF(OR(E291="", F291=""), "", E291*F291)</f>
        <v/>
      </c>
      <c r="L291" s="115" t="n"/>
    </row>
    <row r="292">
      <c r="A292" s="115" t="n"/>
      <c r="B292" s="115" t="n"/>
      <c r="C292" s="115" t="n"/>
      <c r="D292" s="115" t="n"/>
      <c r="E292" s="115" t="n"/>
      <c r="F292" s="115" t="n"/>
      <c r="G292" s="115" t="n"/>
      <c r="H292" s="115" t="n"/>
      <c r="I292" s="115" t="n"/>
      <c r="J292" s="115" t="n"/>
      <c r="K292" s="116">
        <f>IF(OR(E292="", F292=""), "", E292*F292)</f>
        <v/>
      </c>
      <c r="L292" s="115" t="n"/>
    </row>
    <row r="293">
      <c r="A293" s="115" t="n"/>
      <c r="B293" s="115" t="n"/>
      <c r="C293" s="115" t="n"/>
      <c r="D293" s="115" t="n"/>
      <c r="E293" s="115" t="n"/>
      <c r="F293" s="115" t="n"/>
      <c r="G293" s="115" t="n"/>
      <c r="H293" s="115" t="n"/>
      <c r="I293" s="115" t="n"/>
      <c r="J293" s="115" t="n"/>
      <c r="K293" s="116">
        <f>IF(OR(E293="", F293=""), "", E293*F293)</f>
        <v/>
      </c>
      <c r="L293" s="115" t="n"/>
    </row>
    <row r="294">
      <c r="A294" s="115" t="n"/>
      <c r="B294" s="115" t="n"/>
      <c r="C294" s="115" t="n"/>
      <c r="D294" s="115" t="n"/>
      <c r="E294" s="115" t="n"/>
      <c r="F294" s="115" t="n"/>
      <c r="G294" s="115" t="n"/>
      <c r="H294" s="115" t="n"/>
      <c r="I294" s="115" t="n"/>
      <c r="J294" s="115" t="n"/>
      <c r="K294" s="116">
        <f>IF(OR(E294="", F294=""), "", E294*F294)</f>
        <v/>
      </c>
      <c r="L294" s="115" t="n"/>
    </row>
    <row r="295">
      <c r="A295" s="115" t="n"/>
      <c r="B295" s="115" t="n"/>
      <c r="C295" s="115" t="n"/>
      <c r="D295" s="115" t="n"/>
      <c r="E295" s="115" t="n"/>
      <c r="F295" s="115" t="n"/>
      <c r="G295" s="115" t="n"/>
      <c r="H295" s="115" t="n"/>
      <c r="I295" s="115" t="n"/>
      <c r="J295" s="115" t="n"/>
      <c r="K295" s="116">
        <f>IF(OR(E295="", F295=""), "", E295*F295)</f>
        <v/>
      </c>
      <c r="L295" s="115" t="n"/>
    </row>
    <row r="296">
      <c r="A296" s="115" t="n"/>
      <c r="B296" s="115" t="n"/>
      <c r="C296" s="115" t="n"/>
      <c r="D296" s="115" t="n"/>
      <c r="E296" s="115" t="n"/>
      <c r="F296" s="115" t="n"/>
      <c r="G296" s="115" t="n"/>
      <c r="H296" s="115" t="n"/>
      <c r="I296" s="115" t="n"/>
      <c r="J296" s="115" t="n"/>
      <c r="K296" s="116">
        <f>IF(OR(E296="", F296=""), "", E296*F296)</f>
        <v/>
      </c>
      <c r="L296" s="115" t="n"/>
    </row>
    <row r="297">
      <c r="A297" s="115" t="n"/>
      <c r="B297" s="115" t="n"/>
      <c r="C297" s="115" t="n"/>
      <c r="D297" s="115" t="n"/>
      <c r="E297" s="115" t="n"/>
      <c r="F297" s="115" t="n"/>
      <c r="G297" s="115" t="n"/>
      <c r="H297" s="115" t="n"/>
      <c r="I297" s="115" t="n"/>
      <c r="J297" s="115" t="n"/>
      <c r="K297" s="116">
        <f>IF(OR(E297="", F297=""), "", E297*F297)</f>
        <v/>
      </c>
      <c r="L297" s="115" t="n"/>
    </row>
    <row r="298">
      <c r="A298" s="115" t="n"/>
      <c r="B298" s="115" t="n"/>
      <c r="C298" s="115" t="n"/>
      <c r="D298" s="115" t="n"/>
      <c r="E298" s="115" t="n"/>
      <c r="F298" s="115" t="n"/>
      <c r="G298" s="115" t="n"/>
      <c r="H298" s="115" t="n"/>
      <c r="I298" s="115" t="n"/>
      <c r="J298" s="115" t="n"/>
      <c r="K298" s="116">
        <f>IF(OR(E298="", F298=""), "", E298*F298)</f>
        <v/>
      </c>
      <c r="L298" s="115" t="n"/>
    </row>
    <row r="299">
      <c r="A299" s="115" t="n"/>
      <c r="B299" s="115" t="n"/>
      <c r="C299" s="115" t="n"/>
      <c r="D299" s="115" t="n"/>
      <c r="E299" s="115" t="n"/>
      <c r="F299" s="115" t="n"/>
      <c r="G299" s="115" t="n"/>
      <c r="H299" s="115" t="n"/>
      <c r="I299" s="115" t="n"/>
      <c r="J299" s="115" t="n"/>
      <c r="K299" s="116">
        <f>IF(OR(E299="", F299=""), "", E299*F299)</f>
        <v/>
      </c>
      <c r="L299" s="115" t="n"/>
    </row>
    <row r="300">
      <c r="A300" s="115" t="n"/>
      <c r="B300" s="115" t="n"/>
      <c r="C300" s="115" t="n"/>
      <c r="D300" s="115" t="n"/>
      <c r="E300" s="115" t="n"/>
      <c r="F300" s="115" t="n"/>
      <c r="G300" s="115" t="n"/>
      <c r="H300" s="115" t="n"/>
      <c r="I300" s="115" t="n"/>
      <c r="J300" s="115" t="n"/>
      <c r="K300" s="116">
        <f>IF(OR(E300="", F300=""), "", E300*F300)</f>
        <v/>
      </c>
      <c r="L300" s="115" t="n"/>
    </row>
  </sheetData>
  <mergeCells count="2">
    <mergeCell ref="A2:L2"/>
    <mergeCell ref="A1:L1"/>
  </mergeCells>
  <dataValidations count="2">
    <dataValidation sqref="I4:I153 N4:N30" showDropDown="0" showInputMessage="0" showErrorMessage="0" allowBlank="1" type="list">
      <formula1>='14_SETTINGS_VALIDATION'!$G$4:$G$8</formula1>
    </dataValidation>
    <dataValidation sqref="G4:G153 I4:I30" showDropDown="0" showInputMessage="0" showErrorMessage="0" allowBlank="1" type="list">
      <formula1>='14_SETTINGS_VALIDATION'!$I$4:$I$8</formula1>
    </dataValidation>
  </dataValidations>
  <pageMargins left="0.75" right="0.75" top="1" bottom="1" header="0.5" footer="0.5"/>
</worksheet>
</file>

<file path=xl/worksheets/sheet11.xml><?xml version="1.0" encoding="utf-8"?>
<worksheet xmlns="http://schemas.openxmlformats.org/spreadsheetml/2006/main">
  <sheetPr>
    <tabColor rgb="000284C7"/>
    <outlinePr summaryBelow="1" summaryRight="1"/>
    <pageSetUpPr/>
  </sheetPr>
  <dimension ref="A1:R171"/>
  <sheetViews>
    <sheetView showGridLines="1"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2" customWidth="1" min="2" max="2"/>
    <col width="16" customWidth="1" min="3" max="3"/>
    <col width="14" customWidth="1" min="4" max="4"/>
    <col width="14" customWidth="1" min="5" max="5"/>
    <col width="14" customWidth="1" min="6" max="6"/>
    <col width="14" customWidth="1" min="7" max="7"/>
    <col width="14" customWidth="1" min="8" max="8"/>
    <col width="12" customWidth="1" min="9" max="9"/>
    <col width="14" customWidth="1" min="10" max="10"/>
    <col width="14" customWidth="1" min="11" max="11"/>
    <col width="18" customWidth="1" min="12" max="12"/>
    <col width="16" customWidth="1" min="13" max="13"/>
    <col width="16" customWidth="1" min="14" max="14"/>
    <col width="16" customWidth="1" min="15" max="15"/>
    <col width="16" customWidth="1" min="16" max="16"/>
    <col width="18" customWidth="1" min="17" max="17"/>
    <col width="28" customWidth="1" min="18" max="18"/>
  </cols>
  <sheetData>
    <row r="1" ht="36" customHeight="1">
      <c r="A1" s="1" t="inlineStr">
        <is>
          <t>THEO DÕI CÂN NẶNG BUỔI SÁNG &amp; SỐ ĐO CƠ THỂ 24 TUẦN (BODY WEIGHT TRACKER)</t>
        </is>
      </c>
    </row>
    <row r="2" ht="22" customHeight="1">
      <c r="A2" s="64" t="inlineStr">
        <is>
          <t>QUY TẮC CÂN CHUẨN: Cân ngay sau khi thức dậy, sau khi đi vệ sinh và TRƯỚC KHI ĂN UỐNG. Đặt cân trên sàn cứng, phẳng. Không phán xét cân nặng từng ngày mà theo dõi ĐƯỜNG TRUNG BÌNH 7 NGÀY (Cột L)!</t>
        </is>
      </c>
    </row>
    <row r="3" ht="26" customHeight="1">
      <c r="A3" s="36" t="inlineStr">
        <is>
          <t>Ngày Cân</t>
        </is>
      </c>
      <c r="B3" s="36" t="inlineStr">
        <is>
          <t>Thứ</t>
        </is>
      </c>
      <c r="C3" s="36" t="inlineStr">
        <is>
          <t>Cân Nặng Sáng (kg)</t>
        </is>
      </c>
      <c r="D3" s="36" t="inlineStr">
        <is>
          <t>Vòng Eo (cm)</t>
        </is>
      </c>
      <c r="E3" s="36" t="inlineStr">
        <is>
          <t>Vòng Ngực (cm)</t>
        </is>
      </c>
      <c r="F3" s="36" t="inlineStr">
        <is>
          <t>Bắp Tay (cm)</t>
        </is>
      </c>
      <c r="G3" s="36" t="inlineStr">
        <is>
          <t>Vòng Đùi (cm)</t>
        </is>
      </c>
      <c r="H3" s="36" t="inlineStr">
        <is>
          <t>Vòng Mông (cm)</t>
        </is>
      </c>
      <c r="I3" s="36" t="inlineStr">
        <is>
          <t>Giờ Ngủ (h)</t>
        </is>
      </c>
      <c r="J3" s="36" t="inlineStr">
        <is>
          <t>Thèm Ăn (1-5)</t>
        </is>
      </c>
      <c r="K3" s="36" t="inlineStr">
        <is>
          <t>Năng Lượng (1-5)</t>
        </is>
      </c>
      <c r="L3" s="36" t="inlineStr">
        <is>
          <t>TB 7 Ngày (kg)</t>
        </is>
      </c>
      <c r="M3" s="36" t="inlineStr">
        <is>
          <t>Delta vs Tuần Trước</t>
        </is>
      </c>
      <c r="N3" s="36" t="inlineStr">
        <is>
          <t>Còn Đến Mốc 55kg</t>
        </is>
      </c>
      <c r="O3" s="36" t="inlineStr">
        <is>
          <t>Còn Đến Mốc 60kg</t>
        </is>
      </c>
      <c r="P3" s="36" t="inlineStr">
        <is>
          <t>Còn Đến Mốc 65kg</t>
        </is>
      </c>
      <c r="Q3" s="36" t="inlineStr">
        <is>
          <t>Xu Hướng</t>
        </is>
      </c>
      <c r="R3" s="36" t="inlineStr">
        <is>
          <t>Ghi Chú Buổi Sáng</t>
        </is>
      </c>
    </row>
    <row r="4" ht="22" customHeight="1">
      <c r="A4" s="61" t="n">
        <v>46314</v>
      </c>
      <c r="B4" s="9">
        <f>TEXT(A4, "dddd")</f>
        <v/>
      </c>
      <c r="C4" s="65" t="n">
        <v>50.3</v>
      </c>
      <c r="D4" s="67" t="n">
        <v>68</v>
      </c>
      <c r="E4" s="67" t="n">
        <v>82</v>
      </c>
      <c r="F4" s="67" t="n">
        <v>25.5</v>
      </c>
      <c r="G4" s="67" t="n">
        <v>47</v>
      </c>
      <c r="H4" s="67" t="n">
        <v>82</v>
      </c>
      <c r="I4" s="7" t="n">
        <v>7.5</v>
      </c>
      <c r="J4" s="7" t="n">
        <v>3</v>
      </c>
      <c r="K4" s="7" t="n">
        <v>3</v>
      </c>
      <c r="L4" s="68">
        <f>IF(COUNT($C$4:C4)&lt;3, "CHƯA ĐỦ DỮ LIỆU", AVERAGE($C$4:C4))</f>
        <v/>
      </c>
      <c r="M4" s="69" t="inlineStr">
        <is>
          <t>-</t>
        </is>
      </c>
      <c r="N4" s="70">
        <f>IF(C4="", "", MAX(0, 55-C4))</f>
        <v/>
      </c>
      <c r="O4" s="70">
        <f>IF(C4="", "", MAX(0, 60-C4))</f>
        <v/>
      </c>
      <c r="P4" s="70">
        <f>IF(C4="", "", MAX(0, 65-C4))</f>
        <v/>
      </c>
      <c r="Q4" s="9">
        <f>IF(C4="", "", IF(C4&gt;50.3, "Đang tăng", IF(C4=50.3, "Baseline 19/10", "Đang giảm")))</f>
        <v/>
      </c>
      <c r="R4" s="58" t="inlineStr">
        <is>
          <t>Baseline khởi đầu InBody 19/10/2026. BMI 16.4.</t>
        </is>
      </c>
    </row>
    <row r="5" ht="22" customHeight="1">
      <c r="A5" s="61" t="n">
        <v>46315</v>
      </c>
      <c r="B5" s="9">
        <f>TEXT(A5, "dddd")</f>
        <v/>
      </c>
      <c r="C5" s="65" t="n"/>
      <c r="D5" s="67" t="n"/>
      <c r="E5" s="67" t="n"/>
      <c r="F5" s="67" t="n"/>
      <c r="G5" s="67" t="n"/>
      <c r="H5" s="67" t="n"/>
      <c r="I5" s="7" t="n"/>
      <c r="J5" s="7" t="n"/>
      <c r="K5" s="7" t="n"/>
      <c r="L5" s="68">
        <f>IF(COUNT($C$4:C5)&lt;3, "CHƯA ĐỦ DỮ LIỆU", AVERAGE($C$4:C5))</f>
        <v/>
      </c>
      <c r="M5" s="69" t="inlineStr">
        <is>
          <t>-</t>
        </is>
      </c>
      <c r="N5" s="70">
        <f>IF(C5="", "", MAX(0, 55-C5))</f>
        <v/>
      </c>
      <c r="O5" s="70">
        <f>IF(C5="", "", MAX(0, 60-C5))</f>
        <v/>
      </c>
      <c r="P5" s="70">
        <f>IF(C5="", "", MAX(0, 65-C5))</f>
        <v/>
      </c>
      <c r="Q5" s="9">
        <f>IF(C5="", "", IF(C5&gt;50.3, "Đang tăng", IF(C5=50.3, "Baseline 19/10", "Đang giảm")))</f>
        <v/>
      </c>
      <c r="R5" s="58" t="n"/>
    </row>
    <row r="6" ht="22" customHeight="1">
      <c r="A6" s="61" t="n">
        <v>46316</v>
      </c>
      <c r="B6" s="9">
        <f>TEXT(A6, "dddd")</f>
        <v/>
      </c>
      <c r="C6" s="65" t="n"/>
      <c r="D6" s="67" t="n"/>
      <c r="E6" s="67" t="n"/>
      <c r="F6" s="67" t="n"/>
      <c r="G6" s="67" t="n"/>
      <c r="H6" s="67" t="n"/>
      <c r="I6" s="7" t="n"/>
      <c r="J6" s="7" t="n"/>
      <c r="K6" s="7" t="n"/>
      <c r="L6" s="68">
        <f>IF(COUNT($C$4:C6)&lt;3, "CHƯA ĐỦ DỮ LIỆU", AVERAGE($C$4:C6))</f>
        <v/>
      </c>
      <c r="M6" s="69" t="inlineStr">
        <is>
          <t>-</t>
        </is>
      </c>
      <c r="N6" s="70">
        <f>IF(C6="", "", MAX(0, 55-C6))</f>
        <v/>
      </c>
      <c r="O6" s="70">
        <f>IF(C6="", "", MAX(0, 60-C6))</f>
        <v/>
      </c>
      <c r="P6" s="70">
        <f>IF(C6="", "", MAX(0, 65-C6))</f>
        <v/>
      </c>
      <c r="Q6" s="9">
        <f>IF(C6="", "", IF(C6&gt;50.3, "Đang tăng", IF(C6=50.3, "Baseline 19/10", "Đang giảm")))</f>
        <v/>
      </c>
      <c r="R6" s="58" t="n"/>
    </row>
    <row r="7" ht="22" customHeight="1">
      <c r="A7" s="61" t="n">
        <v>46317</v>
      </c>
      <c r="B7" s="9">
        <f>TEXT(A7, "dddd")</f>
        <v/>
      </c>
      <c r="C7" s="65" t="n"/>
      <c r="D7" s="67" t="n"/>
      <c r="E7" s="67" t="n"/>
      <c r="F7" s="67" t="n"/>
      <c r="G7" s="67" t="n"/>
      <c r="H7" s="67" t="n"/>
      <c r="I7" s="7" t="n"/>
      <c r="J7" s="7" t="n"/>
      <c r="K7" s="7" t="n"/>
      <c r="L7" s="68">
        <f>IF(COUNT($C$4:C7)&lt;3, "CHƯA ĐỦ DỮ LIỆU", AVERAGE($C$4:C7))</f>
        <v/>
      </c>
      <c r="M7" s="69" t="inlineStr">
        <is>
          <t>-</t>
        </is>
      </c>
      <c r="N7" s="70">
        <f>IF(C7="", "", MAX(0, 55-C7))</f>
        <v/>
      </c>
      <c r="O7" s="70">
        <f>IF(C7="", "", MAX(0, 60-C7))</f>
        <v/>
      </c>
      <c r="P7" s="70">
        <f>IF(C7="", "", MAX(0, 65-C7))</f>
        <v/>
      </c>
      <c r="Q7" s="9">
        <f>IF(C7="", "", IF(C7&gt;50.3, "Đang tăng", IF(C7=50.3, "Baseline 19/10", "Đang giảm")))</f>
        <v/>
      </c>
      <c r="R7" s="58" t="n"/>
    </row>
    <row r="8" ht="22" customHeight="1">
      <c r="A8" s="61" t="n">
        <v>46318</v>
      </c>
      <c r="B8" s="9">
        <f>TEXT(A8, "dddd")</f>
        <v/>
      </c>
      <c r="C8" s="65" t="n"/>
      <c r="D8" s="67" t="n"/>
      <c r="E8" s="67" t="n"/>
      <c r="F8" s="67" t="n"/>
      <c r="G8" s="67" t="n"/>
      <c r="H8" s="67" t="n"/>
      <c r="I8" s="7" t="n"/>
      <c r="J8" s="7" t="n"/>
      <c r="K8" s="7" t="n"/>
      <c r="L8" s="68">
        <f>IF(COUNT($C$4:C8)&lt;3, "CHƯA ĐỦ DỮ LIỆU", AVERAGE($C$4:C8))</f>
        <v/>
      </c>
      <c r="M8" s="69" t="inlineStr">
        <is>
          <t>-</t>
        </is>
      </c>
      <c r="N8" s="70">
        <f>IF(C8="", "", MAX(0, 55-C8))</f>
        <v/>
      </c>
      <c r="O8" s="70">
        <f>IF(C8="", "", MAX(0, 60-C8))</f>
        <v/>
      </c>
      <c r="P8" s="70">
        <f>IF(C8="", "", MAX(0, 65-C8))</f>
        <v/>
      </c>
      <c r="Q8" s="9">
        <f>IF(C8="", "", IF(C8&gt;50.3, "Đang tăng", IF(C8=50.3, "Baseline 19/10", "Đang giảm")))</f>
        <v/>
      </c>
      <c r="R8" s="58" t="n"/>
    </row>
    <row r="9" ht="22" customHeight="1">
      <c r="A9" s="61" t="n">
        <v>46319</v>
      </c>
      <c r="B9" s="9">
        <f>TEXT(A9, "dddd")</f>
        <v/>
      </c>
      <c r="C9" s="65" t="n"/>
      <c r="D9" s="67" t="n"/>
      <c r="E9" s="67" t="n"/>
      <c r="F9" s="67" t="n"/>
      <c r="G9" s="67" t="n"/>
      <c r="H9" s="67" t="n"/>
      <c r="I9" s="7" t="n"/>
      <c r="J9" s="7" t="n"/>
      <c r="K9" s="7" t="n"/>
      <c r="L9" s="68">
        <f>IF(COUNT($C$4:C9)&lt;3, "CHƯA ĐỦ DỮ LIỆU", AVERAGE($C$4:C9))</f>
        <v/>
      </c>
      <c r="M9" s="69" t="inlineStr">
        <is>
          <t>-</t>
        </is>
      </c>
      <c r="N9" s="70">
        <f>IF(C9="", "", MAX(0, 55-C9))</f>
        <v/>
      </c>
      <c r="O9" s="70">
        <f>IF(C9="", "", MAX(0, 60-C9))</f>
        <v/>
      </c>
      <c r="P9" s="70">
        <f>IF(C9="", "", MAX(0, 65-C9))</f>
        <v/>
      </c>
      <c r="Q9" s="9">
        <f>IF(C9="", "", IF(C9&gt;50.3, "Đang tăng", IF(C9=50.3, "Baseline 19/10", "Đang giảm")))</f>
        <v/>
      </c>
      <c r="R9" s="58" t="n"/>
    </row>
    <row r="10" ht="22" customHeight="1">
      <c r="A10" s="61" t="n">
        <v>46320</v>
      </c>
      <c r="B10" s="9">
        <f>TEXT(A10, "dddd")</f>
        <v/>
      </c>
      <c r="C10" s="65" t="n"/>
      <c r="D10" s="67" t="n"/>
      <c r="E10" s="67" t="n"/>
      <c r="F10" s="67" t="n"/>
      <c r="G10" s="67" t="n"/>
      <c r="H10" s="67" t="n"/>
      <c r="I10" s="7" t="n"/>
      <c r="J10" s="7" t="n"/>
      <c r="K10" s="7" t="n"/>
      <c r="L10" s="68">
        <f>IF(COUNT(C4:C10)&lt;4, "CHƯA ĐỦ DỮ LIỆU", AVERAGE(C4:C10))</f>
        <v/>
      </c>
      <c r="M10" s="69" t="inlineStr">
        <is>
          <t>-</t>
        </is>
      </c>
      <c r="N10" s="70">
        <f>IF(C10="", "", MAX(0, 55-C10))</f>
        <v/>
      </c>
      <c r="O10" s="70">
        <f>IF(C10="", "", MAX(0, 60-C10))</f>
        <v/>
      </c>
      <c r="P10" s="70">
        <f>IF(C10="", "", MAX(0, 65-C10))</f>
        <v/>
      </c>
      <c r="Q10" s="9">
        <f>IF(C10="", "", IF(C10&gt;50.3, "Đang tăng", IF(C10=50.3, "Baseline 19/10", "Đang giảm")))</f>
        <v/>
      </c>
      <c r="R10" s="58" t="n"/>
    </row>
    <row r="11" ht="22" customHeight="1">
      <c r="A11" s="61" t="n">
        <v>46321</v>
      </c>
      <c r="B11" s="9">
        <f>TEXT(A11, "dddd")</f>
        <v/>
      </c>
      <c r="C11" s="65" t="n"/>
      <c r="D11" s="67" t="n"/>
      <c r="E11" s="67" t="n"/>
      <c r="F11" s="67" t="n"/>
      <c r="G11" s="67" t="n"/>
      <c r="H11" s="67" t="n"/>
      <c r="I11" s="7" t="n"/>
      <c r="J11" s="7" t="n"/>
      <c r="K11" s="7" t="n"/>
      <c r="L11" s="68">
        <f>IF(COUNT(C5:C11)&lt;4, "CHƯA ĐỦ DỮ LIỆU", AVERAGE(C5:C11))</f>
        <v/>
      </c>
      <c r="M11" s="69">
        <f>IF(OR(L11="CHƯA ĐỦ DỮ LIỆU", L4="CHƯA ĐỦ DỮ LIỆU"), "-", IF(AND(ISNUMBER(L11), ISNUMBER(L4)), L11-L4, "-"))</f>
        <v/>
      </c>
      <c r="N11" s="70">
        <f>IF(C11="", "", MAX(0, 55-C11))</f>
        <v/>
      </c>
      <c r="O11" s="70">
        <f>IF(C11="", "", MAX(0, 60-C11))</f>
        <v/>
      </c>
      <c r="P11" s="70">
        <f>IF(C11="", "", MAX(0, 65-C11))</f>
        <v/>
      </c>
      <c r="Q11" s="9">
        <f>IF(C11="", "", IF(C11&gt;50.3, "Đang tăng", IF(C11=50.3, "Baseline 19/10", "Đang giảm")))</f>
        <v/>
      </c>
      <c r="R11" s="58" t="n"/>
    </row>
    <row r="12" ht="22" customHeight="1">
      <c r="A12" s="61" t="n">
        <v>46322</v>
      </c>
      <c r="B12" s="9">
        <f>TEXT(A12, "dddd")</f>
        <v/>
      </c>
      <c r="C12" s="65" t="n"/>
      <c r="D12" s="67" t="n"/>
      <c r="E12" s="67" t="n"/>
      <c r="F12" s="67" t="n"/>
      <c r="G12" s="67" t="n"/>
      <c r="H12" s="67" t="n"/>
      <c r="I12" s="7" t="n"/>
      <c r="J12" s="7" t="n"/>
      <c r="K12" s="7" t="n"/>
      <c r="L12" s="68">
        <f>IF(COUNT(C6:C12)&lt;4, "CHƯA ĐỦ DỮ LIỆU", AVERAGE(C6:C12))</f>
        <v/>
      </c>
      <c r="M12" s="69">
        <f>IF(OR(L12="CHƯA ĐỦ DỮ LIỆU", L5="CHƯA ĐỦ DỮ LIỆU"), "-", IF(AND(ISNUMBER(L12), ISNUMBER(L5)), L12-L5, "-"))</f>
        <v/>
      </c>
      <c r="N12" s="70">
        <f>IF(C12="", "", MAX(0, 55-C12))</f>
        <v/>
      </c>
      <c r="O12" s="70">
        <f>IF(C12="", "", MAX(0, 60-C12))</f>
        <v/>
      </c>
      <c r="P12" s="70">
        <f>IF(C12="", "", MAX(0, 65-C12))</f>
        <v/>
      </c>
      <c r="Q12" s="9">
        <f>IF(C12="", "", IF(C12&gt;50.3, "Đang tăng", IF(C12=50.3, "Baseline 19/10", "Đang giảm")))</f>
        <v/>
      </c>
      <c r="R12" s="58" t="n"/>
    </row>
    <row r="13" ht="22" customHeight="1">
      <c r="A13" s="61" t="n">
        <v>46323</v>
      </c>
      <c r="B13" s="9">
        <f>TEXT(A13, "dddd")</f>
        <v/>
      </c>
      <c r="C13" s="65" t="n"/>
      <c r="D13" s="67" t="n"/>
      <c r="E13" s="67" t="n"/>
      <c r="F13" s="67" t="n"/>
      <c r="G13" s="67" t="n"/>
      <c r="H13" s="67" t="n"/>
      <c r="I13" s="7" t="n"/>
      <c r="J13" s="7" t="n"/>
      <c r="K13" s="7" t="n"/>
      <c r="L13" s="68">
        <f>IF(COUNT(C7:C13)&lt;4, "CHƯA ĐỦ DỮ LIỆU", AVERAGE(C7:C13))</f>
        <v/>
      </c>
      <c r="M13" s="69">
        <f>IF(OR(L13="CHƯA ĐỦ DỮ LIỆU", L6="CHƯA ĐỦ DỮ LIỆU"), "-", IF(AND(ISNUMBER(L13), ISNUMBER(L6)), L13-L6, "-"))</f>
        <v/>
      </c>
      <c r="N13" s="70">
        <f>IF(C13="", "", MAX(0, 55-C13))</f>
        <v/>
      </c>
      <c r="O13" s="70">
        <f>IF(C13="", "", MAX(0, 60-C13))</f>
        <v/>
      </c>
      <c r="P13" s="70">
        <f>IF(C13="", "", MAX(0, 65-C13))</f>
        <v/>
      </c>
      <c r="Q13" s="9">
        <f>IF(C13="", "", IF(C13&gt;50.3, "Đang tăng", IF(C13=50.3, "Baseline 19/10", "Đang giảm")))</f>
        <v/>
      </c>
      <c r="R13" s="58" t="n"/>
    </row>
    <row r="14" ht="22" customHeight="1">
      <c r="A14" s="61" t="n">
        <v>46324</v>
      </c>
      <c r="B14" s="9">
        <f>TEXT(A14, "dddd")</f>
        <v/>
      </c>
      <c r="C14" s="65" t="n"/>
      <c r="D14" s="67" t="n"/>
      <c r="E14" s="67" t="n"/>
      <c r="F14" s="67" t="n"/>
      <c r="G14" s="67" t="n"/>
      <c r="H14" s="67" t="n"/>
      <c r="I14" s="7" t="n"/>
      <c r="J14" s="7" t="n"/>
      <c r="K14" s="7" t="n"/>
      <c r="L14" s="68">
        <f>IF(COUNT(C8:C14)&lt;4, "CHƯA ĐỦ DỮ LIỆU", AVERAGE(C8:C14))</f>
        <v/>
      </c>
      <c r="M14" s="69">
        <f>IF(OR(L14="CHƯA ĐỦ DỮ LIỆU", L7="CHƯA ĐỦ DỮ LIỆU"), "-", IF(AND(ISNUMBER(L14), ISNUMBER(L7)), L14-L7, "-"))</f>
        <v/>
      </c>
      <c r="N14" s="70">
        <f>IF(C14="", "", MAX(0, 55-C14))</f>
        <v/>
      </c>
      <c r="O14" s="70">
        <f>IF(C14="", "", MAX(0, 60-C14))</f>
        <v/>
      </c>
      <c r="P14" s="70">
        <f>IF(C14="", "", MAX(0, 65-C14))</f>
        <v/>
      </c>
      <c r="Q14" s="9">
        <f>IF(C14="", "", IF(C14&gt;50.3, "Đang tăng", IF(C14=50.3, "Baseline 19/10", "Đang giảm")))</f>
        <v/>
      </c>
      <c r="R14" s="58" t="n"/>
    </row>
    <row r="15" ht="22" customHeight="1">
      <c r="A15" s="61" t="n">
        <v>46325</v>
      </c>
      <c r="B15" s="9">
        <f>TEXT(A15, "dddd")</f>
        <v/>
      </c>
      <c r="C15" s="65" t="n"/>
      <c r="D15" s="67" t="n"/>
      <c r="E15" s="67" t="n"/>
      <c r="F15" s="67" t="n"/>
      <c r="G15" s="67" t="n"/>
      <c r="H15" s="67" t="n"/>
      <c r="I15" s="7" t="n"/>
      <c r="J15" s="7" t="n"/>
      <c r="K15" s="7" t="n"/>
      <c r="L15" s="68">
        <f>IF(COUNT(C9:C15)&lt;4, "CHƯA ĐỦ DỮ LIỆU", AVERAGE(C9:C15))</f>
        <v/>
      </c>
      <c r="M15" s="69">
        <f>IF(OR(L15="CHƯA ĐỦ DỮ LIỆU", L8="CHƯA ĐỦ DỮ LIỆU"), "-", IF(AND(ISNUMBER(L15), ISNUMBER(L8)), L15-L8, "-"))</f>
        <v/>
      </c>
      <c r="N15" s="70">
        <f>IF(C15="", "", MAX(0, 55-C15))</f>
        <v/>
      </c>
      <c r="O15" s="70">
        <f>IF(C15="", "", MAX(0, 60-C15))</f>
        <v/>
      </c>
      <c r="P15" s="70">
        <f>IF(C15="", "", MAX(0, 65-C15))</f>
        <v/>
      </c>
      <c r="Q15" s="9">
        <f>IF(C15="", "", IF(C15&gt;50.3, "Đang tăng", IF(C15=50.3, "Baseline 19/10", "Đang giảm")))</f>
        <v/>
      </c>
      <c r="R15" s="58" t="n"/>
    </row>
    <row r="16" ht="22" customHeight="1">
      <c r="A16" s="61" t="n">
        <v>46326</v>
      </c>
      <c r="B16" s="9">
        <f>TEXT(A16, "dddd")</f>
        <v/>
      </c>
      <c r="C16" s="65" t="n"/>
      <c r="D16" s="67" t="n"/>
      <c r="E16" s="67" t="n"/>
      <c r="F16" s="67" t="n"/>
      <c r="G16" s="67" t="n"/>
      <c r="H16" s="67" t="n"/>
      <c r="I16" s="7" t="n"/>
      <c r="J16" s="7" t="n"/>
      <c r="K16" s="7" t="n"/>
      <c r="L16" s="68">
        <f>IF(COUNT(C10:C16)&lt;4, "CHƯA ĐỦ DỮ LIỆU", AVERAGE(C10:C16))</f>
        <v/>
      </c>
      <c r="M16" s="69">
        <f>IF(OR(L16="CHƯA ĐỦ DỮ LIỆU", L9="CHƯA ĐỦ DỮ LIỆU"), "-", IF(AND(ISNUMBER(L16), ISNUMBER(L9)), L16-L9, "-"))</f>
        <v/>
      </c>
      <c r="N16" s="70">
        <f>IF(C16="", "", MAX(0, 55-C16))</f>
        <v/>
      </c>
      <c r="O16" s="70">
        <f>IF(C16="", "", MAX(0, 60-C16))</f>
        <v/>
      </c>
      <c r="P16" s="70">
        <f>IF(C16="", "", MAX(0, 65-C16))</f>
        <v/>
      </c>
      <c r="Q16" s="9">
        <f>IF(C16="", "", IF(C16&gt;50.3, "Đang tăng", IF(C16=50.3, "Baseline 19/10", "Đang giảm")))</f>
        <v/>
      </c>
      <c r="R16" s="58" t="n"/>
    </row>
    <row r="17" ht="22" customHeight="1">
      <c r="A17" s="61" t="n">
        <v>46327</v>
      </c>
      <c r="B17" s="9">
        <f>TEXT(A17, "dddd")</f>
        <v/>
      </c>
      <c r="C17" s="65" t="n"/>
      <c r="D17" s="67" t="n"/>
      <c r="E17" s="67" t="n"/>
      <c r="F17" s="67" t="n"/>
      <c r="G17" s="67" t="n"/>
      <c r="H17" s="67" t="n"/>
      <c r="I17" s="7" t="n"/>
      <c r="J17" s="7" t="n"/>
      <c r="K17" s="7" t="n"/>
      <c r="L17" s="68">
        <f>IF(COUNT(C11:C17)&lt;4, "CHƯA ĐỦ DỮ LIỆU", AVERAGE(C11:C17))</f>
        <v/>
      </c>
      <c r="M17" s="69">
        <f>IF(OR(L17="CHƯA ĐỦ DỮ LIỆU", L10="CHƯA ĐỦ DỮ LIỆU"), "-", IF(AND(ISNUMBER(L17), ISNUMBER(L10)), L17-L10, "-"))</f>
        <v/>
      </c>
      <c r="N17" s="70">
        <f>IF(C17="", "", MAX(0, 55-C17))</f>
        <v/>
      </c>
      <c r="O17" s="70">
        <f>IF(C17="", "", MAX(0, 60-C17))</f>
        <v/>
      </c>
      <c r="P17" s="70">
        <f>IF(C17="", "", MAX(0, 65-C17))</f>
        <v/>
      </c>
      <c r="Q17" s="9">
        <f>IF(C17="", "", IF(C17&gt;50.3, "Đang tăng", IF(C17=50.3, "Baseline 19/10", "Đang giảm")))</f>
        <v/>
      </c>
      <c r="R17" s="58" t="n"/>
    </row>
    <row r="18" ht="22" customHeight="1">
      <c r="A18" s="61" t="n">
        <v>46328</v>
      </c>
      <c r="B18" s="9">
        <f>TEXT(A18, "dddd")</f>
        <v/>
      </c>
      <c r="C18" s="65" t="n"/>
      <c r="D18" s="67" t="n"/>
      <c r="E18" s="67" t="n"/>
      <c r="F18" s="67" t="n"/>
      <c r="G18" s="67" t="n"/>
      <c r="H18" s="67" t="n"/>
      <c r="I18" s="7" t="n"/>
      <c r="J18" s="7" t="n"/>
      <c r="K18" s="7" t="n"/>
      <c r="L18" s="68">
        <f>IF(COUNT(C12:C18)&lt;4, "CHƯA ĐỦ DỮ LIỆU", AVERAGE(C12:C18))</f>
        <v/>
      </c>
      <c r="M18" s="69">
        <f>IF(OR(L18="CHƯA ĐỦ DỮ LIỆU", L11="CHƯA ĐỦ DỮ LIỆU"), "-", IF(AND(ISNUMBER(L18), ISNUMBER(L11)), L18-L11, "-"))</f>
        <v/>
      </c>
      <c r="N18" s="70">
        <f>IF(C18="", "", MAX(0, 55-C18))</f>
        <v/>
      </c>
      <c r="O18" s="70">
        <f>IF(C18="", "", MAX(0, 60-C18))</f>
        <v/>
      </c>
      <c r="P18" s="70">
        <f>IF(C18="", "", MAX(0, 65-C18))</f>
        <v/>
      </c>
      <c r="Q18" s="9">
        <f>IF(C18="", "", IF(C18&gt;50.3, "Đang tăng", IF(C18=50.3, "Baseline 19/10", "Đang giảm")))</f>
        <v/>
      </c>
      <c r="R18" s="58" t="n"/>
    </row>
    <row r="19" ht="22" customHeight="1">
      <c r="A19" s="61" t="n">
        <v>46329</v>
      </c>
      <c r="B19" s="9">
        <f>TEXT(A19, "dddd")</f>
        <v/>
      </c>
      <c r="C19" s="65" t="n"/>
      <c r="D19" s="67" t="n"/>
      <c r="E19" s="67" t="n"/>
      <c r="F19" s="67" t="n"/>
      <c r="G19" s="67" t="n"/>
      <c r="H19" s="67" t="n"/>
      <c r="I19" s="7" t="n"/>
      <c r="J19" s="7" t="n"/>
      <c r="K19" s="7" t="n"/>
      <c r="L19" s="68">
        <f>IF(COUNT(C13:C19)&lt;4, "CHƯA ĐỦ DỮ LIỆU", AVERAGE(C13:C19))</f>
        <v/>
      </c>
      <c r="M19" s="69">
        <f>IF(OR(L19="CHƯA ĐỦ DỮ LIỆU", L12="CHƯA ĐỦ DỮ LIỆU"), "-", IF(AND(ISNUMBER(L19), ISNUMBER(L12)), L19-L12, "-"))</f>
        <v/>
      </c>
      <c r="N19" s="70">
        <f>IF(C19="", "", MAX(0, 55-C19))</f>
        <v/>
      </c>
      <c r="O19" s="70">
        <f>IF(C19="", "", MAX(0, 60-C19))</f>
        <v/>
      </c>
      <c r="P19" s="70">
        <f>IF(C19="", "", MAX(0, 65-C19))</f>
        <v/>
      </c>
      <c r="Q19" s="9">
        <f>IF(C19="", "", IF(C19&gt;50.3, "Đang tăng", IF(C19=50.3, "Baseline 19/10", "Đang giảm")))</f>
        <v/>
      </c>
      <c r="R19" s="58" t="n"/>
    </row>
    <row r="20" ht="22" customHeight="1">
      <c r="A20" s="61" t="n">
        <v>46330</v>
      </c>
      <c r="B20" s="9">
        <f>TEXT(A20, "dddd")</f>
        <v/>
      </c>
      <c r="C20" s="65" t="n"/>
      <c r="D20" s="67" t="n"/>
      <c r="E20" s="67" t="n"/>
      <c r="F20" s="67" t="n"/>
      <c r="G20" s="67" t="n"/>
      <c r="H20" s="67" t="n"/>
      <c r="I20" s="7" t="n"/>
      <c r="J20" s="7" t="n"/>
      <c r="K20" s="7" t="n"/>
      <c r="L20" s="68">
        <f>IF(COUNT(C14:C20)&lt;4, "CHƯA ĐỦ DỮ LIỆU", AVERAGE(C14:C20))</f>
        <v/>
      </c>
      <c r="M20" s="69">
        <f>IF(OR(L20="CHƯA ĐỦ DỮ LIỆU", L13="CHƯA ĐỦ DỮ LIỆU"), "-", IF(AND(ISNUMBER(L20), ISNUMBER(L13)), L20-L13, "-"))</f>
        <v/>
      </c>
      <c r="N20" s="70">
        <f>IF(C20="", "", MAX(0, 55-C20))</f>
        <v/>
      </c>
      <c r="O20" s="70">
        <f>IF(C20="", "", MAX(0, 60-C20))</f>
        <v/>
      </c>
      <c r="P20" s="70">
        <f>IF(C20="", "", MAX(0, 65-C20))</f>
        <v/>
      </c>
      <c r="Q20" s="9">
        <f>IF(C20="", "", IF(C20&gt;50.3, "Đang tăng", IF(C20=50.3, "Baseline 19/10", "Đang giảm")))</f>
        <v/>
      </c>
      <c r="R20" s="58" t="n"/>
    </row>
    <row r="21" ht="22" customHeight="1">
      <c r="A21" s="61" t="n">
        <v>46331</v>
      </c>
      <c r="B21" s="9">
        <f>TEXT(A21, "dddd")</f>
        <v/>
      </c>
      <c r="C21" s="65" t="n"/>
      <c r="D21" s="67" t="n"/>
      <c r="E21" s="67" t="n"/>
      <c r="F21" s="67" t="n"/>
      <c r="G21" s="67" t="n"/>
      <c r="H21" s="67" t="n"/>
      <c r="I21" s="7" t="n"/>
      <c r="J21" s="7" t="n"/>
      <c r="K21" s="7" t="n"/>
      <c r="L21" s="68">
        <f>IF(COUNT(C15:C21)&lt;4, "CHƯA ĐỦ DỮ LIỆU", AVERAGE(C15:C21))</f>
        <v/>
      </c>
      <c r="M21" s="69">
        <f>IF(OR(L21="CHƯA ĐỦ DỮ LIỆU", L14="CHƯA ĐỦ DỮ LIỆU"), "-", IF(AND(ISNUMBER(L21), ISNUMBER(L14)), L21-L14, "-"))</f>
        <v/>
      </c>
      <c r="N21" s="70">
        <f>IF(C21="", "", MAX(0, 55-C21))</f>
        <v/>
      </c>
      <c r="O21" s="70">
        <f>IF(C21="", "", MAX(0, 60-C21))</f>
        <v/>
      </c>
      <c r="P21" s="70">
        <f>IF(C21="", "", MAX(0, 65-C21))</f>
        <v/>
      </c>
      <c r="Q21" s="9">
        <f>IF(C21="", "", IF(C21&gt;50.3, "Đang tăng", IF(C21=50.3, "Baseline 19/10", "Đang giảm")))</f>
        <v/>
      </c>
      <c r="R21" s="58" t="n"/>
    </row>
    <row r="22" ht="22" customHeight="1">
      <c r="A22" s="61" t="n">
        <v>46332</v>
      </c>
      <c r="B22" s="9">
        <f>TEXT(A22, "dddd")</f>
        <v/>
      </c>
      <c r="C22" s="65" t="n"/>
      <c r="D22" s="67" t="n"/>
      <c r="E22" s="67" t="n"/>
      <c r="F22" s="67" t="n"/>
      <c r="G22" s="67" t="n"/>
      <c r="H22" s="67" t="n"/>
      <c r="I22" s="7" t="n"/>
      <c r="J22" s="7" t="n"/>
      <c r="K22" s="7" t="n"/>
      <c r="L22" s="68">
        <f>IF(COUNT(C16:C22)&lt;4, "CHƯA ĐỦ DỮ LIỆU", AVERAGE(C16:C22))</f>
        <v/>
      </c>
      <c r="M22" s="69">
        <f>IF(OR(L22="CHƯA ĐỦ DỮ LIỆU", L15="CHƯA ĐỦ DỮ LIỆU"), "-", IF(AND(ISNUMBER(L22), ISNUMBER(L15)), L22-L15, "-"))</f>
        <v/>
      </c>
      <c r="N22" s="70">
        <f>IF(C22="", "", MAX(0, 55-C22))</f>
        <v/>
      </c>
      <c r="O22" s="70">
        <f>IF(C22="", "", MAX(0, 60-C22))</f>
        <v/>
      </c>
      <c r="P22" s="70">
        <f>IF(C22="", "", MAX(0, 65-C22))</f>
        <v/>
      </c>
      <c r="Q22" s="9">
        <f>IF(C22="", "", IF(C22&gt;50.3, "Đang tăng", IF(C22=50.3, "Baseline 19/10", "Đang giảm")))</f>
        <v/>
      </c>
      <c r="R22" s="58" t="n"/>
    </row>
    <row r="23" ht="22" customHeight="1">
      <c r="A23" s="61" t="n">
        <v>46333</v>
      </c>
      <c r="B23" s="9">
        <f>TEXT(A23, "dddd")</f>
        <v/>
      </c>
      <c r="C23" s="65" t="n"/>
      <c r="D23" s="67" t="n"/>
      <c r="E23" s="67" t="n"/>
      <c r="F23" s="67" t="n"/>
      <c r="G23" s="67" t="n"/>
      <c r="H23" s="67" t="n"/>
      <c r="I23" s="7" t="n"/>
      <c r="J23" s="7" t="n"/>
      <c r="K23" s="7" t="n"/>
      <c r="L23" s="68">
        <f>IF(COUNT(C17:C23)&lt;4, "CHƯA ĐỦ DỮ LIỆU", AVERAGE(C17:C23))</f>
        <v/>
      </c>
      <c r="M23" s="69">
        <f>IF(OR(L23="CHƯA ĐỦ DỮ LIỆU", L16="CHƯA ĐỦ DỮ LIỆU"), "-", IF(AND(ISNUMBER(L23), ISNUMBER(L16)), L23-L16, "-"))</f>
        <v/>
      </c>
      <c r="N23" s="70">
        <f>IF(C23="", "", MAX(0, 55-C23))</f>
        <v/>
      </c>
      <c r="O23" s="70">
        <f>IF(C23="", "", MAX(0, 60-C23))</f>
        <v/>
      </c>
      <c r="P23" s="70">
        <f>IF(C23="", "", MAX(0, 65-C23))</f>
        <v/>
      </c>
      <c r="Q23" s="9">
        <f>IF(C23="", "", IF(C23&gt;50.3, "Đang tăng", IF(C23=50.3, "Baseline 19/10", "Đang giảm")))</f>
        <v/>
      </c>
      <c r="R23" s="58" t="n"/>
    </row>
    <row r="24" ht="22" customHeight="1">
      <c r="A24" s="61" t="n">
        <v>46334</v>
      </c>
      <c r="B24" s="9">
        <f>TEXT(A24, "dddd")</f>
        <v/>
      </c>
      <c r="C24" s="65" t="n"/>
      <c r="D24" s="67" t="n"/>
      <c r="E24" s="67" t="n"/>
      <c r="F24" s="67" t="n"/>
      <c r="G24" s="67" t="n"/>
      <c r="H24" s="67" t="n"/>
      <c r="I24" s="7" t="n"/>
      <c r="J24" s="7" t="n"/>
      <c r="K24" s="7" t="n"/>
      <c r="L24" s="68">
        <f>IF(COUNT(C18:C24)&lt;4, "CHƯA ĐỦ DỮ LIỆU", AVERAGE(C18:C24))</f>
        <v/>
      </c>
      <c r="M24" s="69">
        <f>IF(OR(L24="CHƯA ĐỦ DỮ LIỆU", L17="CHƯA ĐỦ DỮ LIỆU"), "-", IF(AND(ISNUMBER(L24), ISNUMBER(L17)), L24-L17, "-"))</f>
        <v/>
      </c>
      <c r="N24" s="70">
        <f>IF(C24="", "", MAX(0, 55-C24))</f>
        <v/>
      </c>
      <c r="O24" s="70">
        <f>IF(C24="", "", MAX(0, 60-C24))</f>
        <v/>
      </c>
      <c r="P24" s="70">
        <f>IF(C24="", "", MAX(0, 65-C24))</f>
        <v/>
      </c>
      <c r="Q24" s="9">
        <f>IF(C24="", "", IF(C24&gt;50.3, "Đang tăng", IF(C24=50.3, "Baseline 19/10", "Đang giảm")))</f>
        <v/>
      </c>
      <c r="R24" s="58" t="n"/>
    </row>
    <row r="25" ht="22" customHeight="1">
      <c r="A25" s="61" t="n">
        <v>46335</v>
      </c>
      <c r="B25" s="9">
        <f>TEXT(A25, "dddd")</f>
        <v/>
      </c>
      <c r="C25" s="65" t="n"/>
      <c r="D25" s="67" t="n"/>
      <c r="E25" s="67" t="n"/>
      <c r="F25" s="67" t="n"/>
      <c r="G25" s="67" t="n"/>
      <c r="H25" s="67" t="n"/>
      <c r="I25" s="7" t="n"/>
      <c r="J25" s="7" t="n"/>
      <c r="K25" s="7" t="n"/>
      <c r="L25" s="68">
        <f>IF(COUNT(C19:C25)&lt;4, "CHƯA ĐỦ DỮ LIỆU", AVERAGE(C19:C25))</f>
        <v/>
      </c>
      <c r="M25" s="69">
        <f>IF(OR(L25="CHƯA ĐỦ DỮ LIỆU", L18="CHƯA ĐỦ DỮ LIỆU"), "-", IF(AND(ISNUMBER(L25), ISNUMBER(L18)), L25-L18, "-"))</f>
        <v/>
      </c>
      <c r="N25" s="70">
        <f>IF(C25="", "", MAX(0, 55-C25))</f>
        <v/>
      </c>
      <c r="O25" s="70">
        <f>IF(C25="", "", MAX(0, 60-C25))</f>
        <v/>
      </c>
      <c r="P25" s="70">
        <f>IF(C25="", "", MAX(0, 65-C25))</f>
        <v/>
      </c>
      <c r="Q25" s="9">
        <f>IF(C25="", "", IF(C25&gt;50.3, "Đang tăng", IF(C25=50.3, "Baseline 19/10", "Đang giảm")))</f>
        <v/>
      </c>
      <c r="R25" s="58" t="n"/>
    </row>
    <row r="26" ht="22" customHeight="1">
      <c r="A26" s="61" t="n">
        <v>46336</v>
      </c>
      <c r="B26" s="9">
        <f>TEXT(A26, "dddd")</f>
        <v/>
      </c>
      <c r="C26" s="65" t="n"/>
      <c r="D26" s="67" t="n"/>
      <c r="E26" s="67" t="n"/>
      <c r="F26" s="67" t="n"/>
      <c r="G26" s="67" t="n"/>
      <c r="H26" s="67" t="n"/>
      <c r="I26" s="7" t="n"/>
      <c r="J26" s="7" t="n"/>
      <c r="K26" s="7" t="n"/>
      <c r="L26" s="68">
        <f>IF(COUNT(C20:C26)&lt;4, "CHƯA ĐỦ DỮ LIỆU", AVERAGE(C20:C26))</f>
        <v/>
      </c>
      <c r="M26" s="69">
        <f>IF(OR(L26="CHƯA ĐỦ DỮ LIỆU", L19="CHƯA ĐỦ DỮ LIỆU"), "-", IF(AND(ISNUMBER(L26), ISNUMBER(L19)), L26-L19, "-"))</f>
        <v/>
      </c>
      <c r="N26" s="70">
        <f>IF(C26="", "", MAX(0, 55-C26))</f>
        <v/>
      </c>
      <c r="O26" s="70">
        <f>IF(C26="", "", MAX(0, 60-C26))</f>
        <v/>
      </c>
      <c r="P26" s="70">
        <f>IF(C26="", "", MAX(0, 65-C26))</f>
        <v/>
      </c>
      <c r="Q26" s="9">
        <f>IF(C26="", "", IF(C26&gt;50.3, "Đang tăng", IF(C26=50.3, "Baseline 19/10", "Đang giảm")))</f>
        <v/>
      </c>
      <c r="R26" s="58" t="n"/>
    </row>
    <row r="27" ht="22" customHeight="1">
      <c r="A27" s="61" t="n">
        <v>46337</v>
      </c>
      <c r="B27" s="9">
        <f>TEXT(A27, "dddd")</f>
        <v/>
      </c>
      <c r="C27" s="65" t="n"/>
      <c r="D27" s="67" t="n"/>
      <c r="E27" s="67" t="n"/>
      <c r="F27" s="67" t="n"/>
      <c r="G27" s="67" t="n"/>
      <c r="H27" s="67" t="n"/>
      <c r="I27" s="7" t="n"/>
      <c r="J27" s="7" t="n"/>
      <c r="K27" s="7" t="n"/>
      <c r="L27" s="68">
        <f>IF(COUNT(C21:C27)&lt;4, "CHƯA ĐỦ DỮ LIỆU", AVERAGE(C21:C27))</f>
        <v/>
      </c>
      <c r="M27" s="69">
        <f>IF(OR(L27="CHƯA ĐỦ DỮ LIỆU", L20="CHƯA ĐỦ DỮ LIỆU"), "-", IF(AND(ISNUMBER(L27), ISNUMBER(L20)), L27-L20, "-"))</f>
        <v/>
      </c>
      <c r="N27" s="70">
        <f>IF(C27="", "", MAX(0, 55-C27))</f>
        <v/>
      </c>
      <c r="O27" s="70">
        <f>IF(C27="", "", MAX(0, 60-C27))</f>
        <v/>
      </c>
      <c r="P27" s="70">
        <f>IF(C27="", "", MAX(0, 65-C27))</f>
        <v/>
      </c>
      <c r="Q27" s="9">
        <f>IF(C27="", "", IF(C27&gt;50.3, "Đang tăng", IF(C27=50.3, "Baseline 19/10", "Đang giảm")))</f>
        <v/>
      </c>
      <c r="R27" s="58" t="n"/>
    </row>
    <row r="28" ht="22" customHeight="1">
      <c r="A28" s="61" t="n">
        <v>46338</v>
      </c>
      <c r="B28" s="9">
        <f>TEXT(A28, "dddd")</f>
        <v/>
      </c>
      <c r="C28" s="65" t="n"/>
      <c r="D28" s="67" t="n"/>
      <c r="E28" s="67" t="n"/>
      <c r="F28" s="67" t="n"/>
      <c r="G28" s="67" t="n"/>
      <c r="H28" s="67" t="n"/>
      <c r="I28" s="7" t="n"/>
      <c r="J28" s="7" t="n"/>
      <c r="K28" s="7" t="n"/>
      <c r="L28" s="68">
        <f>IF(COUNT(C22:C28)&lt;4, "CHƯA ĐỦ DỮ LIỆU", AVERAGE(C22:C28))</f>
        <v/>
      </c>
      <c r="M28" s="69">
        <f>IF(OR(L28="CHƯA ĐỦ DỮ LIỆU", L21="CHƯA ĐỦ DỮ LIỆU"), "-", IF(AND(ISNUMBER(L28), ISNUMBER(L21)), L28-L21, "-"))</f>
        <v/>
      </c>
      <c r="N28" s="70">
        <f>IF(C28="", "", MAX(0, 55-C28))</f>
        <v/>
      </c>
      <c r="O28" s="70">
        <f>IF(C28="", "", MAX(0, 60-C28))</f>
        <v/>
      </c>
      <c r="P28" s="70">
        <f>IF(C28="", "", MAX(0, 65-C28))</f>
        <v/>
      </c>
      <c r="Q28" s="9">
        <f>IF(C28="", "", IF(C28&gt;50.3, "Đang tăng", IF(C28=50.3, "Baseline 19/10", "Đang giảm")))</f>
        <v/>
      </c>
      <c r="R28" s="58" t="n"/>
    </row>
    <row r="29" ht="22" customHeight="1">
      <c r="A29" s="61" t="n">
        <v>46339</v>
      </c>
      <c r="B29" s="9">
        <f>TEXT(A29, "dddd")</f>
        <v/>
      </c>
      <c r="C29" s="65" t="n"/>
      <c r="D29" s="67" t="n"/>
      <c r="E29" s="67" t="n"/>
      <c r="F29" s="67" t="n"/>
      <c r="G29" s="67" t="n"/>
      <c r="H29" s="67" t="n"/>
      <c r="I29" s="7" t="n"/>
      <c r="J29" s="7" t="n"/>
      <c r="K29" s="7" t="n"/>
      <c r="L29" s="68">
        <f>IF(COUNT(C23:C29)&lt;4, "CHƯA ĐỦ DỮ LIỆU", AVERAGE(C23:C29))</f>
        <v/>
      </c>
      <c r="M29" s="69">
        <f>IF(OR(L29="CHƯA ĐỦ DỮ LIỆU", L22="CHƯA ĐỦ DỮ LIỆU"), "-", IF(AND(ISNUMBER(L29), ISNUMBER(L22)), L29-L22, "-"))</f>
        <v/>
      </c>
      <c r="N29" s="70">
        <f>IF(C29="", "", MAX(0, 55-C29))</f>
        <v/>
      </c>
      <c r="O29" s="70">
        <f>IF(C29="", "", MAX(0, 60-C29))</f>
        <v/>
      </c>
      <c r="P29" s="70">
        <f>IF(C29="", "", MAX(0, 65-C29))</f>
        <v/>
      </c>
      <c r="Q29" s="9">
        <f>IF(C29="", "", IF(C29&gt;50.3, "Đang tăng", IF(C29=50.3, "Baseline 19/10", "Đang giảm")))</f>
        <v/>
      </c>
      <c r="R29" s="58" t="n"/>
    </row>
    <row r="30" ht="22" customHeight="1">
      <c r="A30" s="61" t="n">
        <v>46340</v>
      </c>
      <c r="B30" s="9">
        <f>TEXT(A30, "dddd")</f>
        <v/>
      </c>
      <c r="C30" s="65" t="n"/>
      <c r="D30" s="67" t="n"/>
      <c r="E30" s="67" t="n"/>
      <c r="F30" s="67" t="n"/>
      <c r="G30" s="67" t="n"/>
      <c r="H30" s="67" t="n"/>
      <c r="I30" s="7" t="n"/>
      <c r="J30" s="7" t="n"/>
      <c r="K30" s="7" t="n"/>
      <c r="L30" s="68">
        <f>IF(COUNT(C24:C30)&lt;4, "CHƯA ĐỦ DỮ LIỆU", AVERAGE(C24:C30))</f>
        <v/>
      </c>
      <c r="M30" s="69">
        <f>IF(OR(L30="CHƯA ĐỦ DỮ LIỆU", L23="CHƯA ĐỦ DỮ LIỆU"), "-", IF(AND(ISNUMBER(L30), ISNUMBER(L23)), L30-L23, "-"))</f>
        <v/>
      </c>
      <c r="N30" s="70">
        <f>IF(C30="", "", MAX(0, 55-C30))</f>
        <v/>
      </c>
      <c r="O30" s="70">
        <f>IF(C30="", "", MAX(0, 60-C30))</f>
        <v/>
      </c>
      <c r="P30" s="70">
        <f>IF(C30="", "", MAX(0, 65-C30))</f>
        <v/>
      </c>
      <c r="Q30" s="9">
        <f>IF(C30="", "", IF(C30&gt;50.3, "Đang tăng", IF(C30=50.3, "Baseline 19/10", "Đang giảm")))</f>
        <v/>
      </c>
      <c r="R30" s="58" t="n"/>
    </row>
    <row r="31" ht="22" customHeight="1">
      <c r="A31" s="61" t="n">
        <v>46341</v>
      </c>
      <c r="B31" s="9">
        <f>TEXT(A31, "dddd")</f>
        <v/>
      </c>
      <c r="C31" s="65" t="n"/>
      <c r="D31" s="67" t="n"/>
      <c r="E31" s="67" t="n"/>
      <c r="F31" s="67" t="n"/>
      <c r="G31" s="67" t="n"/>
      <c r="H31" s="67" t="n"/>
      <c r="I31" s="7" t="n"/>
      <c r="J31" s="7" t="n"/>
      <c r="K31" s="7" t="n"/>
      <c r="L31" s="68">
        <f>IF(COUNT(C25:C31)&lt;4, "CHƯA ĐỦ DỮ LIỆU", AVERAGE(C25:C31))</f>
        <v/>
      </c>
      <c r="M31" s="69">
        <f>IF(OR(L31="CHƯA ĐỦ DỮ LIỆU", L24="CHƯA ĐỦ DỮ LIỆU"), "-", IF(AND(ISNUMBER(L31), ISNUMBER(L24)), L31-L24, "-"))</f>
        <v/>
      </c>
      <c r="N31" s="70">
        <f>IF(C31="", "", MAX(0, 55-C31))</f>
        <v/>
      </c>
      <c r="O31" s="70">
        <f>IF(C31="", "", MAX(0, 60-C31))</f>
        <v/>
      </c>
      <c r="P31" s="70">
        <f>IF(C31="", "", MAX(0, 65-C31))</f>
        <v/>
      </c>
      <c r="Q31" s="9">
        <f>IF(C31="", "", IF(C31&gt;50.3, "Đang tăng", IF(C31=50.3, "Baseline 19/10", "Đang giảm")))</f>
        <v/>
      </c>
      <c r="R31" s="58" t="n"/>
    </row>
    <row r="32" ht="22" customHeight="1">
      <c r="A32" s="61" t="n">
        <v>46342</v>
      </c>
      <c r="B32" s="9">
        <f>TEXT(A32, "dddd")</f>
        <v/>
      </c>
      <c r="C32" s="65" t="n"/>
      <c r="D32" s="67" t="n"/>
      <c r="E32" s="67" t="n"/>
      <c r="F32" s="67" t="n"/>
      <c r="G32" s="67" t="n"/>
      <c r="H32" s="67" t="n"/>
      <c r="I32" s="7" t="n"/>
      <c r="J32" s="7" t="n"/>
      <c r="K32" s="7" t="n"/>
      <c r="L32" s="68">
        <f>IF(COUNT(C26:C32)&lt;4, "CHƯA ĐỦ DỮ LIỆU", AVERAGE(C26:C32))</f>
        <v/>
      </c>
      <c r="M32" s="69">
        <f>IF(OR(L32="CHƯA ĐỦ DỮ LIỆU", L25="CHƯA ĐỦ DỮ LIỆU"), "-", IF(AND(ISNUMBER(L32), ISNUMBER(L25)), L32-L25, "-"))</f>
        <v/>
      </c>
      <c r="N32" s="70">
        <f>IF(C32="", "", MAX(0, 55-C32))</f>
        <v/>
      </c>
      <c r="O32" s="70">
        <f>IF(C32="", "", MAX(0, 60-C32))</f>
        <v/>
      </c>
      <c r="P32" s="70">
        <f>IF(C32="", "", MAX(0, 65-C32))</f>
        <v/>
      </c>
      <c r="Q32" s="9">
        <f>IF(C32="", "", IF(C32&gt;50.3, "Đang tăng", IF(C32=50.3, "Baseline 19/10", "Đang giảm")))</f>
        <v/>
      </c>
      <c r="R32" s="58" t="n"/>
    </row>
    <row r="33" ht="22" customHeight="1">
      <c r="A33" s="61" t="n">
        <v>46343</v>
      </c>
      <c r="B33" s="9">
        <f>TEXT(A33, "dddd")</f>
        <v/>
      </c>
      <c r="C33" s="65" t="n"/>
      <c r="D33" s="67" t="n"/>
      <c r="E33" s="67" t="n"/>
      <c r="F33" s="67" t="n"/>
      <c r="G33" s="67" t="n"/>
      <c r="H33" s="67" t="n"/>
      <c r="I33" s="7" t="n"/>
      <c r="J33" s="7" t="n"/>
      <c r="K33" s="7" t="n"/>
      <c r="L33" s="68">
        <f>IF(COUNT(C27:C33)&lt;4, "CHƯA ĐỦ DỮ LIỆU", AVERAGE(C27:C33))</f>
        <v/>
      </c>
      <c r="M33" s="69">
        <f>IF(OR(L33="CHƯA ĐỦ DỮ LIỆU", L26="CHƯA ĐỦ DỮ LIỆU"), "-", IF(AND(ISNUMBER(L33), ISNUMBER(L26)), L33-L26, "-"))</f>
        <v/>
      </c>
      <c r="N33" s="70">
        <f>IF(C33="", "", MAX(0, 55-C33))</f>
        <v/>
      </c>
      <c r="O33" s="70">
        <f>IF(C33="", "", MAX(0, 60-C33))</f>
        <v/>
      </c>
      <c r="P33" s="70">
        <f>IF(C33="", "", MAX(0, 65-C33))</f>
        <v/>
      </c>
      <c r="Q33" s="9">
        <f>IF(C33="", "", IF(C33&gt;50.3, "Đang tăng", IF(C33=50.3, "Baseline 19/10", "Đang giảm")))</f>
        <v/>
      </c>
      <c r="R33" s="58" t="n"/>
    </row>
    <row r="34" ht="22" customHeight="1">
      <c r="A34" s="61" t="n">
        <v>46344</v>
      </c>
      <c r="B34" s="9">
        <f>TEXT(A34, "dddd")</f>
        <v/>
      </c>
      <c r="C34" s="65" t="n"/>
      <c r="D34" s="67" t="n"/>
      <c r="E34" s="67" t="n"/>
      <c r="F34" s="67" t="n"/>
      <c r="G34" s="67" t="n"/>
      <c r="H34" s="67" t="n"/>
      <c r="I34" s="7" t="n"/>
      <c r="J34" s="7" t="n"/>
      <c r="K34" s="7" t="n"/>
      <c r="L34" s="68">
        <f>IF(COUNT(C28:C34)&lt;4, "CHƯA ĐỦ DỮ LIỆU", AVERAGE(C28:C34))</f>
        <v/>
      </c>
      <c r="M34" s="69">
        <f>IF(OR(L34="CHƯA ĐỦ DỮ LIỆU", L27="CHƯA ĐỦ DỮ LIỆU"), "-", IF(AND(ISNUMBER(L34), ISNUMBER(L27)), L34-L27, "-"))</f>
        <v/>
      </c>
      <c r="N34" s="70">
        <f>IF(C34="", "", MAX(0, 55-C34))</f>
        <v/>
      </c>
      <c r="O34" s="70">
        <f>IF(C34="", "", MAX(0, 60-C34))</f>
        <v/>
      </c>
      <c r="P34" s="70">
        <f>IF(C34="", "", MAX(0, 65-C34))</f>
        <v/>
      </c>
      <c r="Q34" s="9">
        <f>IF(C34="", "", IF(C34&gt;50.3, "Đang tăng", IF(C34=50.3, "Baseline 19/10", "Đang giảm")))</f>
        <v/>
      </c>
      <c r="R34" s="58" t="n"/>
    </row>
    <row r="35" ht="22" customHeight="1">
      <c r="A35" s="61" t="n">
        <v>46345</v>
      </c>
      <c r="B35" s="9">
        <f>TEXT(A35, "dddd")</f>
        <v/>
      </c>
      <c r="C35" s="65" t="n"/>
      <c r="D35" s="67" t="n"/>
      <c r="E35" s="67" t="n"/>
      <c r="F35" s="67" t="n"/>
      <c r="G35" s="67" t="n"/>
      <c r="H35" s="67" t="n"/>
      <c r="I35" s="7" t="n"/>
      <c r="J35" s="7" t="n"/>
      <c r="K35" s="7" t="n"/>
      <c r="L35" s="68">
        <f>IF(COUNT(C29:C35)&lt;4, "CHƯA ĐỦ DỮ LIỆU", AVERAGE(C29:C35))</f>
        <v/>
      </c>
      <c r="M35" s="69">
        <f>IF(OR(L35="CHƯA ĐỦ DỮ LIỆU", L28="CHƯA ĐỦ DỮ LIỆU"), "-", IF(AND(ISNUMBER(L35), ISNUMBER(L28)), L35-L28, "-"))</f>
        <v/>
      </c>
      <c r="N35" s="70">
        <f>IF(C35="", "", MAX(0, 55-C35))</f>
        <v/>
      </c>
      <c r="O35" s="70">
        <f>IF(C35="", "", MAX(0, 60-C35))</f>
        <v/>
      </c>
      <c r="P35" s="70">
        <f>IF(C35="", "", MAX(0, 65-C35))</f>
        <v/>
      </c>
      <c r="Q35" s="9">
        <f>IF(C35="", "", IF(C35&gt;50.3, "Đang tăng", IF(C35=50.3, "Baseline 19/10", "Đang giảm")))</f>
        <v/>
      </c>
      <c r="R35" s="58" t="n"/>
    </row>
    <row r="36" ht="22" customHeight="1">
      <c r="A36" s="61" t="n">
        <v>46346</v>
      </c>
      <c r="B36" s="9">
        <f>TEXT(A36, "dddd")</f>
        <v/>
      </c>
      <c r="C36" s="65" t="n"/>
      <c r="D36" s="67" t="n"/>
      <c r="E36" s="67" t="n"/>
      <c r="F36" s="67" t="n"/>
      <c r="G36" s="67" t="n"/>
      <c r="H36" s="67" t="n"/>
      <c r="I36" s="7" t="n"/>
      <c r="J36" s="7" t="n"/>
      <c r="K36" s="7" t="n"/>
      <c r="L36" s="68">
        <f>IF(COUNT(C30:C36)&lt;4, "CHƯA ĐỦ DỮ LIỆU", AVERAGE(C30:C36))</f>
        <v/>
      </c>
      <c r="M36" s="69">
        <f>IF(OR(L36="CHƯA ĐỦ DỮ LIỆU", L29="CHƯA ĐỦ DỮ LIỆU"), "-", IF(AND(ISNUMBER(L36), ISNUMBER(L29)), L36-L29, "-"))</f>
        <v/>
      </c>
      <c r="N36" s="70">
        <f>IF(C36="", "", MAX(0, 55-C36))</f>
        <v/>
      </c>
      <c r="O36" s="70">
        <f>IF(C36="", "", MAX(0, 60-C36))</f>
        <v/>
      </c>
      <c r="P36" s="70">
        <f>IF(C36="", "", MAX(0, 65-C36))</f>
        <v/>
      </c>
      <c r="Q36" s="9">
        <f>IF(C36="", "", IF(C36&gt;50.3, "Đang tăng", IF(C36=50.3, "Baseline 19/10", "Đang giảm")))</f>
        <v/>
      </c>
      <c r="R36" s="58" t="n"/>
    </row>
    <row r="37" ht="22" customHeight="1">
      <c r="A37" s="61" t="n">
        <v>46347</v>
      </c>
      <c r="B37" s="9">
        <f>TEXT(A37, "dddd")</f>
        <v/>
      </c>
      <c r="C37" s="65" t="n"/>
      <c r="D37" s="67" t="n"/>
      <c r="E37" s="67" t="n"/>
      <c r="F37" s="67" t="n"/>
      <c r="G37" s="67" t="n"/>
      <c r="H37" s="67" t="n"/>
      <c r="I37" s="7" t="n"/>
      <c r="J37" s="7" t="n"/>
      <c r="K37" s="7" t="n"/>
      <c r="L37" s="68">
        <f>IF(COUNT(C31:C37)&lt;4, "CHƯA ĐỦ DỮ LIỆU", AVERAGE(C31:C37))</f>
        <v/>
      </c>
      <c r="M37" s="69">
        <f>IF(OR(L37="CHƯA ĐỦ DỮ LIỆU", L30="CHƯA ĐỦ DỮ LIỆU"), "-", IF(AND(ISNUMBER(L37), ISNUMBER(L30)), L37-L30, "-"))</f>
        <v/>
      </c>
      <c r="N37" s="70">
        <f>IF(C37="", "", MAX(0, 55-C37))</f>
        <v/>
      </c>
      <c r="O37" s="70">
        <f>IF(C37="", "", MAX(0, 60-C37))</f>
        <v/>
      </c>
      <c r="P37" s="70">
        <f>IF(C37="", "", MAX(0, 65-C37))</f>
        <v/>
      </c>
      <c r="Q37" s="9">
        <f>IF(C37="", "", IF(C37&gt;50.3, "Đang tăng", IF(C37=50.3, "Baseline 19/10", "Đang giảm")))</f>
        <v/>
      </c>
      <c r="R37" s="58" t="n"/>
    </row>
    <row r="38" ht="22" customHeight="1">
      <c r="A38" s="61" t="n">
        <v>46348</v>
      </c>
      <c r="B38" s="9">
        <f>TEXT(A38, "dddd")</f>
        <v/>
      </c>
      <c r="C38" s="65" t="n"/>
      <c r="D38" s="67" t="n"/>
      <c r="E38" s="67" t="n"/>
      <c r="F38" s="67" t="n"/>
      <c r="G38" s="67" t="n"/>
      <c r="H38" s="67" t="n"/>
      <c r="I38" s="7" t="n"/>
      <c r="J38" s="7" t="n"/>
      <c r="K38" s="7" t="n"/>
      <c r="L38" s="68">
        <f>IF(COUNT(C32:C38)&lt;4, "CHƯA ĐỦ DỮ LIỆU", AVERAGE(C32:C38))</f>
        <v/>
      </c>
      <c r="M38" s="69">
        <f>IF(OR(L38="CHƯA ĐỦ DỮ LIỆU", L31="CHƯA ĐỦ DỮ LIỆU"), "-", IF(AND(ISNUMBER(L38), ISNUMBER(L31)), L38-L31, "-"))</f>
        <v/>
      </c>
      <c r="N38" s="70">
        <f>IF(C38="", "", MAX(0, 55-C38))</f>
        <v/>
      </c>
      <c r="O38" s="70">
        <f>IF(C38="", "", MAX(0, 60-C38))</f>
        <v/>
      </c>
      <c r="P38" s="70">
        <f>IF(C38="", "", MAX(0, 65-C38))</f>
        <v/>
      </c>
      <c r="Q38" s="9">
        <f>IF(C38="", "", IF(C38&gt;50.3, "Đang tăng", IF(C38=50.3, "Baseline 19/10", "Đang giảm")))</f>
        <v/>
      </c>
      <c r="R38" s="58" t="n"/>
    </row>
    <row r="39" ht="22" customHeight="1">
      <c r="A39" s="61" t="n">
        <v>46349</v>
      </c>
      <c r="B39" s="9">
        <f>TEXT(A39, "dddd")</f>
        <v/>
      </c>
      <c r="C39" s="65" t="n"/>
      <c r="D39" s="67" t="n"/>
      <c r="E39" s="67" t="n"/>
      <c r="F39" s="67" t="n"/>
      <c r="G39" s="67" t="n"/>
      <c r="H39" s="67" t="n"/>
      <c r="I39" s="7" t="n"/>
      <c r="J39" s="7" t="n"/>
      <c r="K39" s="7" t="n"/>
      <c r="L39" s="68">
        <f>IF(COUNT(C33:C39)&lt;4, "CHƯA ĐỦ DỮ LIỆU", AVERAGE(C33:C39))</f>
        <v/>
      </c>
      <c r="M39" s="69">
        <f>IF(OR(L39="CHƯA ĐỦ DỮ LIỆU", L32="CHƯA ĐỦ DỮ LIỆU"), "-", IF(AND(ISNUMBER(L39), ISNUMBER(L32)), L39-L32, "-"))</f>
        <v/>
      </c>
      <c r="N39" s="70">
        <f>IF(C39="", "", MAX(0, 55-C39))</f>
        <v/>
      </c>
      <c r="O39" s="70">
        <f>IF(C39="", "", MAX(0, 60-C39))</f>
        <v/>
      </c>
      <c r="P39" s="70">
        <f>IF(C39="", "", MAX(0, 65-C39))</f>
        <v/>
      </c>
      <c r="Q39" s="9">
        <f>IF(C39="", "", IF(C39&gt;50.3, "Đang tăng", IF(C39=50.3, "Baseline 19/10", "Đang giảm")))</f>
        <v/>
      </c>
      <c r="R39" s="58" t="n"/>
    </row>
    <row r="40" ht="22" customHeight="1">
      <c r="A40" s="61" t="n">
        <v>46350</v>
      </c>
      <c r="B40" s="9">
        <f>TEXT(A40, "dddd")</f>
        <v/>
      </c>
      <c r="C40" s="65" t="n"/>
      <c r="D40" s="67" t="n"/>
      <c r="E40" s="67" t="n"/>
      <c r="F40" s="67" t="n"/>
      <c r="G40" s="67" t="n"/>
      <c r="H40" s="67" t="n"/>
      <c r="I40" s="7" t="n"/>
      <c r="J40" s="7" t="n"/>
      <c r="K40" s="7" t="n"/>
      <c r="L40" s="68">
        <f>IF(COUNT(C34:C40)&lt;4, "CHƯA ĐỦ DỮ LIỆU", AVERAGE(C34:C40))</f>
        <v/>
      </c>
      <c r="M40" s="69">
        <f>IF(OR(L40="CHƯA ĐỦ DỮ LIỆU", L33="CHƯA ĐỦ DỮ LIỆU"), "-", IF(AND(ISNUMBER(L40), ISNUMBER(L33)), L40-L33, "-"))</f>
        <v/>
      </c>
      <c r="N40" s="70">
        <f>IF(C40="", "", MAX(0, 55-C40))</f>
        <v/>
      </c>
      <c r="O40" s="70">
        <f>IF(C40="", "", MAX(0, 60-C40))</f>
        <v/>
      </c>
      <c r="P40" s="70">
        <f>IF(C40="", "", MAX(0, 65-C40))</f>
        <v/>
      </c>
      <c r="Q40" s="9">
        <f>IF(C40="", "", IF(C40&gt;50.3, "Đang tăng", IF(C40=50.3, "Baseline 19/10", "Đang giảm")))</f>
        <v/>
      </c>
      <c r="R40" s="58" t="n"/>
    </row>
    <row r="41" ht="22" customHeight="1">
      <c r="A41" s="61" t="n">
        <v>46351</v>
      </c>
      <c r="B41" s="9">
        <f>TEXT(A41, "dddd")</f>
        <v/>
      </c>
      <c r="C41" s="65" t="n"/>
      <c r="D41" s="67" t="n"/>
      <c r="E41" s="67" t="n"/>
      <c r="F41" s="67" t="n"/>
      <c r="G41" s="67" t="n"/>
      <c r="H41" s="67" t="n"/>
      <c r="I41" s="7" t="n"/>
      <c r="J41" s="7" t="n"/>
      <c r="K41" s="7" t="n"/>
      <c r="L41" s="68">
        <f>IF(COUNT(C35:C41)&lt;4, "CHƯA ĐỦ DỮ LIỆU", AVERAGE(C35:C41))</f>
        <v/>
      </c>
      <c r="M41" s="69">
        <f>IF(OR(L41="CHƯA ĐỦ DỮ LIỆU", L34="CHƯA ĐỦ DỮ LIỆU"), "-", IF(AND(ISNUMBER(L41), ISNUMBER(L34)), L41-L34, "-"))</f>
        <v/>
      </c>
      <c r="N41" s="70">
        <f>IF(C41="", "", MAX(0, 55-C41))</f>
        <v/>
      </c>
      <c r="O41" s="70">
        <f>IF(C41="", "", MAX(0, 60-C41))</f>
        <v/>
      </c>
      <c r="P41" s="70">
        <f>IF(C41="", "", MAX(0, 65-C41))</f>
        <v/>
      </c>
      <c r="Q41" s="9">
        <f>IF(C41="", "", IF(C41&gt;50.3, "Đang tăng", IF(C41=50.3, "Baseline 19/10", "Đang giảm")))</f>
        <v/>
      </c>
      <c r="R41" s="58" t="n"/>
    </row>
    <row r="42" ht="22" customHeight="1">
      <c r="A42" s="61" t="n">
        <v>46352</v>
      </c>
      <c r="B42" s="9">
        <f>TEXT(A42, "dddd")</f>
        <v/>
      </c>
      <c r="C42" s="65" t="n"/>
      <c r="D42" s="67" t="n"/>
      <c r="E42" s="67" t="n"/>
      <c r="F42" s="67" t="n"/>
      <c r="G42" s="67" t="n"/>
      <c r="H42" s="67" t="n"/>
      <c r="I42" s="7" t="n"/>
      <c r="J42" s="7" t="n"/>
      <c r="K42" s="7" t="n"/>
      <c r="L42" s="68">
        <f>IF(COUNT(C36:C42)&lt;4, "CHƯA ĐỦ DỮ LIỆU", AVERAGE(C36:C42))</f>
        <v/>
      </c>
      <c r="M42" s="69">
        <f>IF(OR(L42="CHƯA ĐỦ DỮ LIỆU", L35="CHƯA ĐỦ DỮ LIỆU"), "-", IF(AND(ISNUMBER(L42), ISNUMBER(L35)), L42-L35, "-"))</f>
        <v/>
      </c>
      <c r="N42" s="70">
        <f>IF(C42="", "", MAX(0, 55-C42))</f>
        <v/>
      </c>
      <c r="O42" s="70">
        <f>IF(C42="", "", MAX(0, 60-C42))</f>
        <v/>
      </c>
      <c r="P42" s="70">
        <f>IF(C42="", "", MAX(0, 65-C42))</f>
        <v/>
      </c>
      <c r="Q42" s="9">
        <f>IF(C42="", "", IF(C42&gt;50.3, "Đang tăng", IF(C42=50.3, "Baseline 19/10", "Đang giảm")))</f>
        <v/>
      </c>
      <c r="R42" s="58" t="n"/>
    </row>
    <row r="43" ht="22" customHeight="1">
      <c r="A43" s="61" t="n">
        <v>46353</v>
      </c>
      <c r="B43" s="9">
        <f>TEXT(A43, "dddd")</f>
        <v/>
      </c>
      <c r="C43" s="65" t="n"/>
      <c r="D43" s="67" t="n"/>
      <c r="E43" s="67" t="n"/>
      <c r="F43" s="67" t="n"/>
      <c r="G43" s="67" t="n"/>
      <c r="H43" s="67" t="n"/>
      <c r="I43" s="7" t="n"/>
      <c r="J43" s="7" t="n"/>
      <c r="K43" s="7" t="n"/>
      <c r="L43" s="68">
        <f>IF(COUNT(C37:C43)&lt;4, "CHƯA ĐỦ DỮ LIỆU", AVERAGE(C37:C43))</f>
        <v/>
      </c>
      <c r="M43" s="69">
        <f>IF(OR(L43="CHƯA ĐỦ DỮ LIỆU", L36="CHƯA ĐỦ DỮ LIỆU"), "-", IF(AND(ISNUMBER(L43), ISNUMBER(L36)), L43-L36, "-"))</f>
        <v/>
      </c>
      <c r="N43" s="70">
        <f>IF(C43="", "", MAX(0, 55-C43))</f>
        <v/>
      </c>
      <c r="O43" s="70">
        <f>IF(C43="", "", MAX(0, 60-C43))</f>
        <v/>
      </c>
      <c r="P43" s="70">
        <f>IF(C43="", "", MAX(0, 65-C43))</f>
        <v/>
      </c>
      <c r="Q43" s="9">
        <f>IF(C43="", "", IF(C43&gt;50.3, "Đang tăng", IF(C43=50.3, "Baseline 19/10", "Đang giảm")))</f>
        <v/>
      </c>
      <c r="R43" s="58" t="n"/>
    </row>
    <row r="44" ht="22" customHeight="1">
      <c r="A44" s="61" t="n">
        <v>46354</v>
      </c>
      <c r="B44" s="9">
        <f>TEXT(A44, "dddd")</f>
        <v/>
      </c>
      <c r="C44" s="65" t="n"/>
      <c r="D44" s="67" t="n"/>
      <c r="E44" s="67" t="n"/>
      <c r="F44" s="67" t="n"/>
      <c r="G44" s="67" t="n"/>
      <c r="H44" s="67" t="n"/>
      <c r="I44" s="7" t="n"/>
      <c r="J44" s="7" t="n"/>
      <c r="K44" s="7" t="n"/>
      <c r="L44" s="68">
        <f>IF(COUNT(C38:C44)&lt;4, "CHƯA ĐỦ DỮ LIỆU", AVERAGE(C38:C44))</f>
        <v/>
      </c>
      <c r="M44" s="69">
        <f>IF(OR(L44="CHƯA ĐỦ DỮ LIỆU", L37="CHƯA ĐỦ DỮ LIỆU"), "-", IF(AND(ISNUMBER(L44), ISNUMBER(L37)), L44-L37, "-"))</f>
        <v/>
      </c>
      <c r="N44" s="70">
        <f>IF(C44="", "", MAX(0, 55-C44))</f>
        <v/>
      </c>
      <c r="O44" s="70">
        <f>IF(C44="", "", MAX(0, 60-C44))</f>
        <v/>
      </c>
      <c r="P44" s="70">
        <f>IF(C44="", "", MAX(0, 65-C44))</f>
        <v/>
      </c>
      <c r="Q44" s="9">
        <f>IF(C44="", "", IF(C44&gt;50.3, "Đang tăng", IF(C44=50.3, "Baseline 19/10", "Đang giảm")))</f>
        <v/>
      </c>
      <c r="R44" s="58" t="n"/>
    </row>
    <row r="45" ht="22" customHeight="1">
      <c r="A45" s="61" t="n">
        <v>46355</v>
      </c>
      <c r="B45" s="9">
        <f>TEXT(A45, "dddd")</f>
        <v/>
      </c>
      <c r="C45" s="65" t="n"/>
      <c r="D45" s="67" t="n"/>
      <c r="E45" s="67" t="n"/>
      <c r="F45" s="67" t="n"/>
      <c r="G45" s="67" t="n"/>
      <c r="H45" s="67" t="n"/>
      <c r="I45" s="7" t="n"/>
      <c r="J45" s="7" t="n"/>
      <c r="K45" s="7" t="n"/>
      <c r="L45" s="68">
        <f>IF(COUNT(C39:C45)&lt;4, "CHƯA ĐỦ DỮ LIỆU", AVERAGE(C39:C45))</f>
        <v/>
      </c>
      <c r="M45" s="69">
        <f>IF(OR(L45="CHƯA ĐỦ DỮ LIỆU", L38="CHƯA ĐỦ DỮ LIỆU"), "-", IF(AND(ISNUMBER(L45), ISNUMBER(L38)), L45-L38, "-"))</f>
        <v/>
      </c>
      <c r="N45" s="70">
        <f>IF(C45="", "", MAX(0, 55-C45))</f>
        <v/>
      </c>
      <c r="O45" s="70">
        <f>IF(C45="", "", MAX(0, 60-C45))</f>
        <v/>
      </c>
      <c r="P45" s="70">
        <f>IF(C45="", "", MAX(0, 65-C45))</f>
        <v/>
      </c>
      <c r="Q45" s="9">
        <f>IF(C45="", "", IF(C45&gt;50.3, "Đang tăng", IF(C45=50.3, "Baseline 19/10", "Đang giảm")))</f>
        <v/>
      </c>
      <c r="R45" s="58" t="n"/>
    </row>
    <row r="46" ht="22" customHeight="1">
      <c r="A46" s="61" t="n">
        <v>46356</v>
      </c>
      <c r="B46" s="9">
        <f>TEXT(A46, "dddd")</f>
        <v/>
      </c>
      <c r="C46" s="65" t="n"/>
      <c r="D46" s="67" t="n"/>
      <c r="E46" s="67" t="n"/>
      <c r="F46" s="67" t="n"/>
      <c r="G46" s="67" t="n"/>
      <c r="H46" s="67" t="n"/>
      <c r="I46" s="7" t="n"/>
      <c r="J46" s="7" t="n"/>
      <c r="K46" s="7" t="n"/>
      <c r="L46" s="68">
        <f>IF(COUNT(C40:C46)&lt;4, "CHƯA ĐỦ DỮ LIỆU", AVERAGE(C40:C46))</f>
        <v/>
      </c>
      <c r="M46" s="69">
        <f>IF(OR(L46="CHƯA ĐỦ DỮ LIỆU", L39="CHƯA ĐỦ DỮ LIỆU"), "-", IF(AND(ISNUMBER(L46), ISNUMBER(L39)), L46-L39, "-"))</f>
        <v/>
      </c>
      <c r="N46" s="70">
        <f>IF(C46="", "", MAX(0, 55-C46))</f>
        <v/>
      </c>
      <c r="O46" s="70">
        <f>IF(C46="", "", MAX(0, 60-C46))</f>
        <v/>
      </c>
      <c r="P46" s="70">
        <f>IF(C46="", "", MAX(0, 65-C46))</f>
        <v/>
      </c>
      <c r="Q46" s="9">
        <f>IF(C46="", "", IF(C46&gt;50.3, "Đang tăng", IF(C46=50.3, "Baseline 19/10", "Đang giảm")))</f>
        <v/>
      </c>
      <c r="R46" s="58" t="n"/>
    </row>
    <row r="47" ht="22" customHeight="1">
      <c r="A47" s="61" t="n">
        <v>46357</v>
      </c>
      <c r="B47" s="9">
        <f>TEXT(A47, "dddd")</f>
        <v/>
      </c>
      <c r="C47" s="65" t="n"/>
      <c r="D47" s="67" t="n"/>
      <c r="E47" s="67" t="n"/>
      <c r="F47" s="67" t="n"/>
      <c r="G47" s="67" t="n"/>
      <c r="H47" s="67" t="n"/>
      <c r="I47" s="7" t="n"/>
      <c r="J47" s="7" t="n"/>
      <c r="K47" s="7" t="n"/>
      <c r="L47" s="68">
        <f>IF(COUNT(C41:C47)&lt;4, "CHƯA ĐỦ DỮ LIỆU", AVERAGE(C41:C47))</f>
        <v/>
      </c>
      <c r="M47" s="69">
        <f>IF(OR(L47="CHƯA ĐỦ DỮ LIỆU", L40="CHƯA ĐỦ DỮ LIỆU"), "-", IF(AND(ISNUMBER(L47), ISNUMBER(L40)), L47-L40, "-"))</f>
        <v/>
      </c>
      <c r="N47" s="70">
        <f>IF(C47="", "", MAX(0, 55-C47))</f>
        <v/>
      </c>
      <c r="O47" s="70">
        <f>IF(C47="", "", MAX(0, 60-C47))</f>
        <v/>
      </c>
      <c r="P47" s="70">
        <f>IF(C47="", "", MAX(0, 65-C47))</f>
        <v/>
      </c>
      <c r="Q47" s="9">
        <f>IF(C47="", "", IF(C47&gt;50.3, "Đang tăng", IF(C47=50.3, "Baseline 19/10", "Đang giảm")))</f>
        <v/>
      </c>
      <c r="R47" s="58" t="n"/>
    </row>
    <row r="48" ht="22" customHeight="1">
      <c r="A48" s="61" t="n">
        <v>46358</v>
      </c>
      <c r="B48" s="9">
        <f>TEXT(A48, "dddd")</f>
        <v/>
      </c>
      <c r="C48" s="65" t="n"/>
      <c r="D48" s="67" t="n"/>
      <c r="E48" s="67" t="n"/>
      <c r="F48" s="67" t="n"/>
      <c r="G48" s="67" t="n"/>
      <c r="H48" s="67" t="n"/>
      <c r="I48" s="7" t="n"/>
      <c r="J48" s="7" t="n"/>
      <c r="K48" s="7" t="n"/>
      <c r="L48" s="68">
        <f>IF(COUNT(C42:C48)&lt;4, "CHƯA ĐỦ DỮ LIỆU", AVERAGE(C42:C48))</f>
        <v/>
      </c>
      <c r="M48" s="69">
        <f>IF(OR(L48="CHƯA ĐỦ DỮ LIỆU", L41="CHƯA ĐỦ DỮ LIỆU"), "-", IF(AND(ISNUMBER(L48), ISNUMBER(L41)), L48-L41, "-"))</f>
        <v/>
      </c>
      <c r="N48" s="70">
        <f>IF(C48="", "", MAX(0, 55-C48))</f>
        <v/>
      </c>
      <c r="O48" s="70">
        <f>IF(C48="", "", MAX(0, 60-C48))</f>
        <v/>
      </c>
      <c r="P48" s="70">
        <f>IF(C48="", "", MAX(0, 65-C48))</f>
        <v/>
      </c>
      <c r="Q48" s="9">
        <f>IF(C48="", "", IF(C48&gt;50.3, "Đang tăng", IF(C48=50.3, "Baseline 19/10", "Đang giảm")))</f>
        <v/>
      </c>
      <c r="R48" s="58" t="n"/>
    </row>
    <row r="49" ht="22" customHeight="1">
      <c r="A49" s="61" t="n">
        <v>46359</v>
      </c>
      <c r="B49" s="9">
        <f>TEXT(A49, "dddd")</f>
        <v/>
      </c>
      <c r="C49" s="65" t="n"/>
      <c r="D49" s="67" t="n"/>
      <c r="E49" s="67" t="n"/>
      <c r="F49" s="67" t="n"/>
      <c r="G49" s="67" t="n"/>
      <c r="H49" s="67" t="n"/>
      <c r="I49" s="7" t="n"/>
      <c r="J49" s="7" t="n"/>
      <c r="K49" s="7" t="n"/>
      <c r="L49" s="68">
        <f>IF(COUNT(C43:C49)&lt;4, "CHƯA ĐỦ DỮ LIỆU", AVERAGE(C43:C49))</f>
        <v/>
      </c>
      <c r="M49" s="69">
        <f>IF(OR(L49="CHƯA ĐỦ DỮ LIỆU", L42="CHƯA ĐỦ DỮ LIỆU"), "-", IF(AND(ISNUMBER(L49), ISNUMBER(L42)), L49-L42, "-"))</f>
        <v/>
      </c>
      <c r="N49" s="70">
        <f>IF(C49="", "", MAX(0, 55-C49))</f>
        <v/>
      </c>
      <c r="O49" s="70">
        <f>IF(C49="", "", MAX(0, 60-C49))</f>
        <v/>
      </c>
      <c r="P49" s="70">
        <f>IF(C49="", "", MAX(0, 65-C49))</f>
        <v/>
      </c>
      <c r="Q49" s="9">
        <f>IF(C49="", "", IF(C49&gt;50.3, "Đang tăng", IF(C49=50.3, "Baseline 19/10", "Đang giảm")))</f>
        <v/>
      </c>
      <c r="R49" s="58" t="n"/>
    </row>
    <row r="50" ht="22" customHeight="1">
      <c r="A50" s="61" t="n">
        <v>46360</v>
      </c>
      <c r="B50" s="9">
        <f>TEXT(A50, "dddd")</f>
        <v/>
      </c>
      <c r="C50" s="65" t="n"/>
      <c r="D50" s="67" t="n"/>
      <c r="E50" s="67" t="n"/>
      <c r="F50" s="67" t="n"/>
      <c r="G50" s="67" t="n"/>
      <c r="H50" s="67" t="n"/>
      <c r="I50" s="7" t="n"/>
      <c r="J50" s="7" t="n"/>
      <c r="K50" s="7" t="n"/>
      <c r="L50" s="68">
        <f>IF(COUNT(C44:C50)&lt;4, "CHƯA ĐỦ DỮ LIỆU", AVERAGE(C44:C50))</f>
        <v/>
      </c>
      <c r="M50" s="69">
        <f>IF(OR(L50="CHƯA ĐỦ DỮ LIỆU", L43="CHƯA ĐỦ DỮ LIỆU"), "-", IF(AND(ISNUMBER(L50), ISNUMBER(L43)), L50-L43, "-"))</f>
        <v/>
      </c>
      <c r="N50" s="70">
        <f>IF(C50="", "", MAX(0, 55-C50))</f>
        <v/>
      </c>
      <c r="O50" s="70">
        <f>IF(C50="", "", MAX(0, 60-C50))</f>
        <v/>
      </c>
      <c r="P50" s="70">
        <f>IF(C50="", "", MAX(0, 65-C50))</f>
        <v/>
      </c>
      <c r="Q50" s="9">
        <f>IF(C50="", "", IF(C50&gt;50.3, "Đang tăng", IF(C50=50.3, "Baseline 19/10", "Đang giảm")))</f>
        <v/>
      </c>
      <c r="R50" s="58" t="n"/>
    </row>
    <row r="51" ht="22" customHeight="1">
      <c r="A51" s="61" t="n">
        <v>46361</v>
      </c>
      <c r="B51" s="9">
        <f>TEXT(A51, "dddd")</f>
        <v/>
      </c>
      <c r="C51" s="65" t="n"/>
      <c r="D51" s="67" t="n"/>
      <c r="E51" s="67" t="n"/>
      <c r="F51" s="67" t="n"/>
      <c r="G51" s="67" t="n"/>
      <c r="H51" s="67" t="n"/>
      <c r="I51" s="7" t="n"/>
      <c r="J51" s="7" t="n"/>
      <c r="K51" s="7" t="n"/>
      <c r="L51" s="68">
        <f>IF(COUNT(C45:C51)&lt;4, "CHƯA ĐỦ DỮ LIỆU", AVERAGE(C45:C51))</f>
        <v/>
      </c>
      <c r="M51" s="69">
        <f>IF(OR(L51="CHƯA ĐỦ DỮ LIỆU", L44="CHƯA ĐỦ DỮ LIỆU"), "-", IF(AND(ISNUMBER(L51), ISNUMBER(L44)), L51-L44, "-"))</f>
        <v/>
      </c>
      <c r="N51" s="70">
        <f>IF(C51="", "", MAX(0, 55-C51))</f>
        <v/>
      </c>
      <c r="O51" s="70">
        <f>IF(C51="", "", MAX(0, 60-C51))</f>
        <v/>
      </c>
      <c r="P51" s="70">
        <f>IF(C51="", "", MAX(0, 65-C51))</f>
        <v/>
      </c>
      <c r="Q51" s="9">
        <f>IF(C51="", "", IF(C51&gt;50.3, "Đang tăng", IF(C51=50.3, "Baseline 19/10", "Đang giảm")))</f>
        <v/>
      </c>
      <c r="R51" s="58" t="n"/>
    </row>
    <row r="52" ht="22" customHeight="1">
      <c r="A52" s="61" t="n">
        <v>46362</v>
      </c>
      <c r="B52" s="9">
        <f>TEXT(A52, "dddd")</f>
        <v/>
      </c>
      <c r="C52" s="65" t="n"/>
      <c r="D52" s="67" t="n"/>
      <c r="E52" s="67" t="n"/>
      <c r="F52" s="67" t="n"/>
      <c r="G52" s="67" t="n"/>
      <c r="H52" s="67" t="n"/>
      <c r="I52" s="7" t="n"/>
      <c r="J52" s="7" t="n"/>
      <c r="K52" s="7" t="n"/>
      <c r="L52" s="68">
        <f>IF(COUNT(C46:C52)&lt;4, "CHƯA ĐỦ DỮ LIỆU", AVERAGE(C46:C52))</f>
        <v/>
      </c>
      <c r="M52" s="69">
        <f>IF(OR(L52="CHƯA ĐỦ DỮ LIỆU", L45="CHƯA ĐỦ DỮ LIỆU"), "-", IF(AND(ISNUMBER(L52), ISNUMBER(L45)), L52-L45, "-"))</f>
        <v/>
      </c>
      <c r="N52" s="70">
        <f>IF(C52="", "", MAX(0, 55-C52))</f>
        <v/>
      </c>
      <c r="O52" s="70">
        <f>IF(C52="", "", MAX(0, 60-C52))</f>
        <v/>
      </c>
      <c r="P52" s="70">
        <f>IF(C52="", "", MAX(0, 65-C52))</f>
        <v/>
      </c>
      <c r="Q52" s="9">
        <f>IF(C52="", "", IF(C52&gt;50.3, "Đang tăng", IF(C52=50.3, "Baseline 19/10", "Đang giảm")))</f>
        <v/>
      </c>
      <c r="R52" s="58" t="n"/>
    </row>
    <row r="53" ht="22" customHeight="1">
      <c r="A53" s="61" t="n">
        <v>46363</v>
      </c>
      <c r="B53" s="9">
        <f>TEXT(A53, "dddd")</f>
        <v/>
      </c>
      <c r="C53" s="65" t="n"/>
      <c r="D53" s="67" t="n"/>
      <c r="E53" s="67" t="n"/>
      <c r="F53" s="67" t="n"/>
      <c r="G53" s="67" t="n"/>
      <c r="H53" s="67" t="n"/>
      <c r="I53" s="7" t="n"/>
      <c r="J53" s="7" t="n"/>
      <c r="K53" s="7" t="n"/>
      <c r="L53" s="68">
        <f>IF(COUNT(C47:C53)&lt;4, "CHƯA ĐỦ DỮ LIỆU", AVERAGE(C47:C53))</f>
        <v/>
      </c>
      <c r="M53" s="69">
        <f>IF(OR(L53="CHƯA ĐỦ DỮ LIỆU", L46="CHƯA ĐỦ DỮ LIỆU"), "-", IF(AND(ISNUMBER(L53), ISNUMBER(L46)), L53-L46, "-"))</f>
        <v/>
      </c>
      <c r="N53" s="70">
        <f>IF(C53="", "", MAX(0, 55-C53))</f>
        <v/>
      </c>
      <c r="O53" s="70">
        <f>IF(C53="", "", MAX(0, 60-C53))</f>
        <v/>
      </c>
      <c r="P53" s="70">
        <f>IF(C53="", "", MAX(0, 65-C53))</f>
        <v/>
      </c>
      <c r="Q53" s="9">
        <f>IF(C53="", "", IF(C53&gt;50.3, "Đang tăng", IF(C53=50.3, "Baseline 19/10", "Đang giảm")))</f>
        <v/>
      </c>
      <c r="R53" s="58" t="n"/>
    </row>
    <row r="54" ht="22" customHeight="1">
      <c r="A54" s="61" t="n">
        <v>46364</v>
      </c>
      <c r="B54" s="9">
        <f>TEXT(A54, "dddd")</f>
        <v/>
      </c>
      <c r="C54" s="65" t="n"/>
      <c r="D54" s="67" t="n"/>
      <c r="E54" s="67" t="n"/>
      <c r="F54" s="67" t="n"/>
      <c r="G54" s="67" t="n"/>
      <c r="H54" s="67" t="n"/>
      <c r="I54" s="7" t="n"/>
      <c r="J54" s="7" t="n"/>
      <c r="K54" s="7" t="n"/>
      <c r="L54" s="68">
        <f>IF(COUNT(C48:C54)&lt;4, "CHƯA ĐỦ DỮ LIỆU", AVERAGE(C48:C54))</f>
        <v/>
      </c>
      <c r="M54" s="69">
        <f>IF(OR(L54="CHƯA ĐỦ DỮ LIỆU", L47="CHƯA ĐỦ DỮ LIỆU"), "-", IF(AND(ISNUMBER(L54), ISNUMBER(L47)), L54-L47, "-"))</f>
        <v/>
      </c>
      <c r="N54" s="70">
        <f>IF(C54="", "", MAX(0, 55-C54))</f>
        <v/>
      </c>
      <c r="O54" s="70">
        <f>IF(C54="", "", MAX(0, 60-C54))</f>
        <v/>
      </c>
      <c r="P54" s="70">
        <f>IF(C54="", "", MAX(0, 65-C54))</f>
        <v/>
      </c>
      <c r="Q54" s="9">
        <f>IF(C54="", "", IF(C54&gt;50.3, "Đang tăng", IF(C54=50.3, "Baseline 19/10", "Đang giảm")))</f>
        <v/>
      </c>
      <c r="R54" s="58" t="n"/>
    </row>
    <row r="55" ht="22" customHeight="1">
      <c r="A55" s="61" t="n">
        <v>46365</v>
      </c>
      <c r="B55" s="9">
        <f>TEXT(A55, "dddd")</f>
        <v/>
      </c>
      <c r="C55" s="65" t="n"/>
      <c r="D55" s="67" t="n"/>
      <c r="E55" s="67" t="n"/>
      <c r="F55" s="67" t="n"/>
      <c r="G55" s="67" t="n"/>
      <c r="H55" s="67" t="n"/>
      <c r="I55" s="7" t="n"/>
      <c r="J55" s="7" t="n"/>
      <c r="K55" s="7" t="n"/>
      <c r="L55" s="68">
        <f>IF(COUNT(C49:C55)&lt;4, "CHƯA ĐỦ DỮ LIỆU", AVERAGE(C49:C55))</f>
        <v/>
      </c>
      <c r="M55" s="69">
        <f>IF(OR(L55="CHƯA ĐỦ DỮ LIỆU", L48="CHƯA ĐỦ DỮ LIỆU"), "-", IF(AND(ISNUMBER(L55), ISNUMBER(L48)), L55-L48, "-"))</f>
        <v/>
      </c>
      <c r="N55" s="70">
        <f>IF(C55="", "", MAX(0, 55-C55))</f>
        <v/>
      </c>
      <c r="O55" s="70">
        <f>IF(C55="", "", MAX(0, 60-C55))</f>
        <v/>
      </c>
      <c r="P55" s="70">
        <f>IF(C55="", "", MAX(0, 65-C55))</f>
        <v/>
      </c>
      <c r="Q55" s="9">
        <f>IF(C55="", "", IF(C55&gt;50.3, "Đang tăng", IF(C55=50.3, "Baseline 19/10", "Đang giảm")))</f>
        <v/>
      </c>
      <c r="R55" s="58" t="n"/>
    </row>
    <row r="56" ht="22" customHeight="1">
      <c r="A56" s="61" t="n">
        <v>46366</v>
      </c>
      <c r="B56" s="9">
        <f>TEXT(A56, "dddd")</f>
        <v/>
      </c>
      <c r="C56" s="65" t="n"/>
      <c r="D56" s="67" t="n"/>
      <c r="E56" s="67" t="n"/>
      <c r="F56" s="67" t="n"/>
      <c r="G56" s="67" t="n"/>
      <c r="H56" s="67" t="n"/>
      <c r="I56" s="7" t="n"/>
      <c r="J56" s="7" t="n"/>
      <c r="K56" s="7" t="n"/>
      <c r="L56" s="68">
        <f>IF(COUNT(C50:C56)&lt;4, "CHƯA ĐỦ DỮ LIỆU", AVERAGE(C50:C56))</f>
        <v/>
      </c>
      <c r="M56" s="69">
        <f>IF(OR(L56="CHƯA ĐỦ DỮ LIỆU", L49="CHƯA ĐỦ DỮ LIỆU"), "-", IF(AND(ISNUMBER(L56), ISNUMBER(L49)), L56-L49, "-"))</f>
        <v/>
      </c>
      <c r="N56" s="70">
        <f>IF(C56="", "", MAX(0, 55-C56))</f>
        <v/>
      </c>
      <c r="O56" s="70">
        <f>IF(C56="", "", MAX(0, 60-C56))</f>
        <v/>
      </c>
      <c r="P56" s="70">
        <f>IF(C56="", "", MAX(0, 65-C56))</f>
        <v/>
      </c>
      <c r="Q56" s="9">
        <f>IF(C56="", "", IF(C56&gt;50.3, "Đang tăng", IF(C56=50.3, "Baseline 19/10", "Đang giảm")))</f>
        <v/>
      </c>
      <c r="R56" s="58" t="n"/>
    </row>
    <row r="57" ht="22" customHeight="1">
      <c r="A57" s="61" t="n">
        <v>46367</v>
      </c>
      <c r="B57" s="9">
        <f>TEXT(A57, "dddd")</f>
        <v/>
      </c>
      <c r="C57" s="65" t="n"/>
      <c r="D57" s="67" t="n"/>
      <c r="E57" s="67" t="n"/>
      <c r="F57" s="67" t="n"/>
      <c r="G57" s="67" t="n"/>
      <c r="H57" s="67" t="n"/>
      <c r="I57" s="7" t="n"/>
      <c r="J57" s="7" t="n"/>
      <c r="K57" s="7" t="n"/>
      <c r="L57" s="68">
        <f>IF(COUNT(C51:C57)&lt;4, "CHƯA ĐỦ DỮ LIỆU", AVERAGE(C51:C57))</f>
        <v/>
      </c>
      <c r="M57" s="69">
        <f>IF(OR(L57="CHƯA ĐỦ DỮ LIỆU", L50="CHƯA ĐỦ DỮ LIỆU"), "-", IF(AND(ISNUMBER(L57), ISNUMBER(L50)), L57-L50, "-"))</f>
        <v/>
      </c>
      <c r="N57" s="70">
        <f>IF(C57="", "", MAX(0, 55-C57))</f>
        <v/>
      </c>
      <c r="O57" s="70">
        <f>IF(C57="", "", MAX(0, 60-C57))</f>
        <v/>
      </c>
      <c r="P57" s="70">
        <f>IF(C57="", "", MAX(0, 65-C57))</f>
        <v/>
      </c>
      <c r="Q57" s="9">
        <f>IF(C57="", "", IF(C57&gt;50.3, "Đang tăng", IF(C57=50.3, "Baseline 19/10", "Đang giảm")))</f>
        <v/>
      </c>
      <c r="R57" s="58" t="n"/>
    </row>
    <row r="58" ht="22" customHeight="1">
      <c r="A58" s="61" t="n">
        <v>46368</v>
      </c>
      <c r="B58" s="9">
        <f>TEXT(A58, "dddd")</f>
        <v/>
      </c>
      <c r="C58" s="65" t="n"/>
      <c r="D58" s="67" t="n"/>
      <c r="E58" s="67" t="n"/>
      <c r="F58" s="67" t="n"/>
      <c r="G58" s="67" t="n"/>
      <c r="H58" s="67" t="n"/>
      <c r="I58" s="7" t="n"/>
      <c r="J58" s="7" t="n"/>
      <c r="K58" s="7" t="n"/>
      <c r="L58" s="68">
        <f>IF(COUNT(C52:C58)&lt;4, "CHƯA ĐỦ DỮ LIỆU", AVERAGE(C52:C58))</f>
        <v/>
      </c>
      <c r="M58" s="69">
        <f>IF(OR(L58="CHƯA ĐỦ DỮ LIỆU", L51="CHƯA ĐỦ DỮ LIỆU"), "-", IF(AND(ISNUMBER(L58), ISNUMBER(L51)), L58-L51, "-"))</f>
        <v/>
      </c>
      <c r="N58" s="70">
        <f>IF(C58="", "", MAX(0, 55-C58))</f>
        <v/>
      </c>
      <c r="O58" s="70">
        <f>IF(C58="", "", MAX(0, 60-C58))</f>
        <v/>
      </c>
      <c r="P58" s="70">
        <f>IF(C58="", "", MAX(0, 65-C58))</f>
        <v/>
      </c>
      <c r="Q58" s="9">
        <f>IF(C58="", "", IF(C58&gt;50.3, "Đang tăng", IF(C58=50.3, "Baseline 19/10", "Đang giảm")))</f>
        <v/>
      </c>
      <c r="R58" s="58" t="n"/>
    </row>
    <row r="59" ht="22" customHeight="1">
      <c r="A59" s="61" t="n">
        <v>46369</v>
      </c>
      <c r="B59" s="9">
        <f>TEXT(A59, "dddd")</f>
        <v/>
      </c>
      <c r="C59" s="65" t="n"/>
      <c r="D59" s="67" t="n"/>
      <c r="E59" s="67" t="n"/>
      <c r="F59" s="67" t="n"/>
      <c r="G59" s="67" t="n"/>
      <c r="H59" s="67" t="n"/>
      <c r="I59" s="7" t="n"/>
      <c r="J59" s="7" t="n"/>
      <c r="K59" s="7" t="n"/>
      <c r="L59" s="68">
        <f>IF(COUNT(C53:C59)&lt;4, "CHƯA ĐỦ DỮ LIỆU", AVERAGE(C53:C59))</f>
        <v/>
      </c>
      <c r="M59" s="69">
        <f>IF(OR(L59="CHƯA ĐỦ DỮ LIỆU", L52="CHƯA ĐỦ DỮ LIỆU"), "-", IF(AND(ISNUMBER(L59), ISNUMBER(L52)), L59-L52, "-"))</f>
        <v/>
      </c>
      <c r="N59" s="70">
        <f>IF(C59="", "", MAX(0, 55-C59))</f>
        <v/>
      </c>
      <c r="O59" s="70">
        <f>IF(C59="", "", MAX(0, 60-C59))</f>
        <v/>
      </c>
      <c r="P59" s="70">
        <f>IF(C59="", "", MAX(0, 65-C59))</f>
        <v/>
      </c>
      <c r="Q59" s="9">
        <f>IF(C59="", "", IF(C59&gt;50.3, "Đang tăng", IF(C59=50.3, "Baseline 19/10", "Đang giảm")))</f>
        <v/>
      </c>
      <c r="R59" s="58" t="n"/>
    </row>
    <row r="60" ht="22" customHeight="1">
      <c r="A60" s="61" t="n">
        <v>46370</v>
      </c>
      <c r="B60" s="9">
        <f>TEXT(A60, "dddd")</f>
        <v/>
      </c>
      <c r="C60" s="65" t="n"/>
      <c r="D60" s="67" t="n"/>
      <c r="E60" s="67" t="n"/>
      <c r="F60" s="67" t="n"/>
      <c r="G60" s="67" t="n"/>
      <c r="H60" s="67" t="n"/>
      <c r="I60" s="7" t="n"/>
      <c r="J60" s="7" t="n"/>
      <c r="K60" s="7" t="n"/>
      <c r="L60" s="68">
        <f>IF(COUNT(C54:C60)&lt;4, "CHƯA ĐỦ DỮ LIỆU", AVERAGE(C54:C60))</f>
        <v/>
      </c>
      <c r="M60" s="69">
        <f>IF(OR(L60="CHƯA ĐỦ DỮ LIỆU", L53="CHƯA ĐỦ DỮ LIỆU"), "-", IF(AND(ISNUMBER(L60), ISNUMBER(L53)), L60-L53, "-"))</f>
        <v/>
      </c>
      <c r="N60" s="70">
        <f>IF(C60="", "", MAX(0, 55-C60))</f>
        <v/>
      </c>
      <c r="O60" s="70">
        <f>IF(C60="", "", MAX(0, 60-C60))</f>
        <v/>
      </c>
      <c r="P60" s="70">
        <f>IF(C60="", "", MAX(0, 65-C60))</f>
        <v/>
      </c>
      <c r="Q60" s="9">
        <f>IF(C60="", "", IF(C60&gt;50.3, "Đang tăng", IF(C60=50.3, "Baseline 19/10", "Đang giảm")))</f>
        <v/>
      </c>
      <c r="R60" s="58" t="n"/>
    </row>
    <row r="61" ht="22" customHeight="1">
      <c r="A61" s="61" t="n">
        <v>46371</v>
      </c>
      <c r="B61" s="9">
        <f>TEXT(A61, "dddd")</f>
        <v/>
      </c>
      <c r="C61" s="65" t="n"/>
      <c r="D61" s="67" t="n"/>
      <c r="E61" s="67" t="n"/>
      <c r="F61" s="67" t="n"/>
      <c r="G61" s="67" t="n"/>
      <c r="H61" s="67" t="n"/>
      <c r="I61" s="7" t="n"/>
      <c r="J61" s="7" t="n"/>
      <c r="K61" s="7" t="n"/>
      <c r="L61" s="68">
        <f>IF(COUNT(C55:C61)&lt;4, "CHƯA ĐỦ DỮ LIỆU", AVERAGE(C55:C61))</f>
        <v/>
      </c>
      <c r="M61" s="69">
        <f>IF(OR(L61="CHƯA ĐỦ DỮ LIỆU", L54="CHƯA ĐỦ DỮ LIỆU"), "-", IF(AND(ISNUMBER(L61), ISNUMBER(L54)), L61-L54, "-"))</f>
        <v/>
      </c>
      <c r="N61" s="70">
        <f>IF(C61="", "", MAX(0, 55-C61))</f>
        <v/>
      </c>
      <c r="O61" s="70">
        <f>IF(C61="", "", MAX(0, 60-C61))</f>
        <v/>
      </c>
      <c r="P61" s="70">
        <f>IF(C61="", "", MAX(0, 65-C61))</f>
        <v/>
      </c>
      <c r="Q61" s="9">
        <f>IF(C61="", "", IF(C61&gt;50.3, "Đang tăng", IF(C61=50.3, "Baseline 19/10", "Đang giảm")))</f>
        <v/>
      </c>
      <c r="R61" s="58" t="n"/>
    </row>
    <row r="62" ht="22" customHeight="1">
      <c r="A62" s="61" t="n">
        <v>46372</v>
      </c>
      <c r="B62" s="9">
        <f>TEXT(A62, "dddd")</f>
        <v/>
      </c>
      <c r="C62" s="65" t="n"/>
      <c r="D62" s="67" t="n"/>
      <c r="E62" s="67" t="n"/>
      <c r="F62" s="67" t="n"/>
      <c r="G62" s="67" t="n"/>
      <c r="H62" s="67" t="n"/>
      <c r="I62" s="7" t="n"/>
      <c r="J62" s="7" t="n"/>
      <c r="K62" s="7" t="n"/>
      <c r="L62" s="68">
        <f>IF(COUNT(C56:C62)&lt;4, "CHƯA ĐỦ DỮ LIỆU", AVERAGE(C56:C62))</f>
        <v/>
      </c>
      <c r="M62" s="69">
        <f>IF(OR(L62="CHƯA ĐỦ DỮ LIỆU", L55="CHƯA ĐỦ DỮ LIỆU"), "-", IF(AND(ISNUMBER(L62), ISNUMBER(L55)), L62-L55, "-"))</f>
        <v/>
      </c>
      <c r="N62" s="70">
        <f>IF(C62="", "", MAX(0, 55-C62))</f>
        <v/>
      </c>
      <c r="O62" s="70">
        <f>IF(C62="", "", MAX(0, 60-C62))</f>
        <v/>
      </c>
      <c r="P62" s="70">
        <f>IF(C62="", "", MAX(0, 65-C62))</f>
        <v/>
      </c>
      <c r="Q62" s="9">
        <f>IF(C62="", "", IF(C62&gt;50.3, "Đang tăng", IF(C62=50.3, "Baseline 19/10", "Đang giảm")))</f>
        <v/>
      </c>
      <c r="R62" s="58" t="n"/>
    </row>
    <row r="63" ht="22" customHeight="1">
      <c r="A63" s="61" t="n">
        <v>46373</v>
      </c>
      <c r="B63" s="9">
        <f>TEXT(A63, "dddd")</f>
        <v/>
      </c>
      <c r="C63" s="65" t="n"/>
      <c r="D63" s="67" t="n"/>
      <c r="E63" s="67" t="n"/>
      <c r="F63" s="67" t="n"/>
      <c r="G63" s="67" t="n"/>
      <c r="H63" s="67" t="n"/>
      <c r="I63" s="7" t="n"/>
      <c r="J63" s="7" t="n"/>
      <c r="K63" s="7" t="n"/>
      <c r="L63" s="68">
        <f>IF(COUNT(C57:C63)&lt;4, "CHƯA ĐỦ DỮ LIỆU", AVERAGE(C57:C63))</f>
        <v/>
      </c>
      <c r="M63" s="69">
        <f>IF(OR(L63="CHƯA ĐỦ DỮ LIỆU", L56="CHƯA ĐỦ DỮ LIỆU"), "-", IF(AND(ISNUMBER(L63), ISNUMBER(L56)), L63-L56, "-"))</f>
        <v/>
      </c>
      <c r="N63" s="70">
        <f>IF(C63="", "", MAX(0, 55-C63))</f>
        <v/>
      </c>
      <c r="O63" s="70">
        <f>IF(C63="", "", MAX(0, 60-C63))</f>
        <v/>
      </c>
      <c r="P63" s="70">
        <f>IF(C63="", "", MAX(0, 65-C63))</f>
        <v/>
      </c>
      <c r="Q63" s="9">
        <f>IF(C63="", "", IF(C63&gt;50.3, "Đang tăng", IF(C63=50.3, "Baseline 19/10", "Đang giảm")))</f>
        <v/>
      </c>
      <c r="R63" s="58" t="n"/>
    </row>
    <row r="64" ht="22" customHeight="1">
      <c r="A64" s="61" t="n">
        <v>46374</v>
      </c>
      <c r="B64" s="9">
        <f>TEXT(A64, "dddd")</f>
        <v/>
      </c>
      <c r="C64" s="65" t="n"/>
      <c r="D64" s="67" t="n"/>
      <c r="E64" s="67" t="n"/>
      <c r="F64" s="67" t="n"/>
      <c r="G64" s="67" t="n"/>
      <c r="H64" s="67" t="n"/>
      <c r="I64" s="7" t="n"/>
      <c r="J64" s="7" t="n"/>
      <c r="K64" s="7" t="n"/>
      <c r="L64" s="68">
        <f>IF(COUNT(C58:C64)&lt;4, "CHƯA ĐỦ DỮ LIỆU", AVERAGE(C58:C64))</f>
        <v/>
      </c>
      <c r="M64" s="69">
        <f>IF(OR(L64="CHƯA ĐỦ DỮ LIỆU", L57="CHƯA ĐỦ DỮ LIỆU"), "-", IF(AND(ISNUMBER(L64), ISNUMBER(L57)), L64-L57, "-"))</f>
        <v/>
      </c>
      <c r="N64" s="70">
        <f>IF(C64="", "", MAX(0, 55-C64))</f>
        <v/>
      </c>
      <c r="O64" s="70">
        <f>IF(C64="", "", MAX(0, 60-C64))</f>
        <v/>
      </c>
      <c r="P64" s="70">
        <f>IF(C64="", "", MAX(0, 65-C64))</f>
        <v/>
      </c>
      <c r="Q64" s="9">
        <f>IF(C64="", "", IF(C64&gt;50.3, "Đang tăng", IF(C64=50.3, "Baseline 19/10", "Đang giảm")))</f>
        <v/>
      </c>
      <c r="R64" s="58" t="n"/>
    </row>
    <row r="65" ht="22" customHeight="1">
      <c r="A65" s="61" t="n">
        <v>46375</v>
      </c>
      <c r="B65" s="9">
        <f>TEXT(A65, "dddd")</f>
        <v/>
      </c>
      <c r="C65" s="65" t="n"/>
      <c r="D65" s="67" t="n"/>
      <c r="E65" s="67" t="n"/>
      <c r="F65" s="67" t="n"/>
      <c r="G65" s="67" t="n"/>
      <c r="H65" s="67" t="n"/>
      <c r="I65" s="7" t="n"/>
      <c r="J65" s="7" t="n"/>
      <c r="K65" s="7" t="n"/>
      <c r="L65" s="68">
        <f>IF(COUNT(C59:C65)&lt;4, "CHƯA ĐỦ DỮ LIỆU", AVERAGE(C59:C65))</f>
        <v/>
      </c>
      <c r="M65" s="69">
        <f>IF(OR(L65="CHƯA ĐỦ DỮ LIỆU", L58="CHƯA ĐỦ DỮ LIỆU"), "-", IF(AND(ISNUMBER(L65), ISNUMBER(L58)), L65-L58, "-"))</f>
        <v/>
      </c>
      <c r="N65" s="70">
        <f>IF(C65="", "", MAX(0, 55-C65))</f>
        <v/>
      </c>
      <c r="O65" s="70">
        <f>IF(C65="", "", MAX(0, 60-C65))</f>
        <v/>
      </c>
      <c r="P65" s="70">
        <f>IF(C65="", "", MAX(0, 65-C65))</f>
        <v/>
      </c>
      <c r="Q65" s="9">
        <f>IF(C65="", "", IF(C65&gt;50.3, "Đang tăng", IF(C65=50.3, "Baseline 19/10", "Đang giảm")))</f>
        <v/>
      </c>
      <c r="R65" s="58" t="n"/>
    </row>
    <row r="66" ht="22" customHeight="1">
      <c r="A66" s="61" t="n">
        <v>46376</v>
      </c>
      <c r="B66" s="9">
        <f>TEXT(A66, "dddd")</f>
        <v/>
      </c>
      <c r="C66" s="65" t="n"/>
      <c r="D66" s="67" t="n"/>
      <c r="E66" s="67" t="n"/>
      <c r="F66" s="67" t="n"/>
      <c r="G66" s="67" t="n"/>
      <c r="H66" s="67" t="n"/>
      <c r="I66" s="7" t="n"/>
      <c r="J66" s="7" t="n"/>
      <c r="K66" s="7" t="n"/>
      <c r="L66" s="68">
        <f>IF(COUNT(C60:C66)&lt;4, "CHƯA ĐỦ DỮ LIỆU", AVERAGE(C60:C66))</f>
        <v/>
      </c>
      <c r="M66" s="69">
        <f>IF(OR(L66="CHƯA ĐỦ DỮ LIỆU", L59="CHƯA ĐỦ DỮ LIỆU"), "-", IF(AND(ISNUMBER(L66), ISNUMBER(L59)), L66-L59, "-"))</f>
        <v/>
      </c>
      <c r="N66" s="70">
        <f>IF(C66="", "", MAX(0, 55-C66))</f>
        <v/>
      </c>
      <c r="O66" s="70">
        <f>IF(C66="", "", MAX(0, 60-C66))</f>
        <v/>
      </c>
      <c r="P66" s="70">
        <f>IF(C66="", "", MAX(0, 65-C66))</f>
        <v/>
      </c>
      <c r="Q66" s="9">
        <f>IF(C66="", "", IF(C66&gt;50.3, "Đang tăng", IF(C66=50.3, "Baseline 19/10", "Đang giảm")))</f>
        <v/>
      </c>
      <c r="R66" s="58" t="n"/>
    </row>
    <row r="67" ht="22" customHeight="1">
      <c r="A67" s="61" t="n">
        <v>46377</v>
      </c>
      <c r="B67" s="9">
        <f>TEXT(A67, "dddd")</f>
        <v/>
      </c>
      <c r="C67" s="65" t="n"/>
      <c r="D67" s="67" t="n"/>
      <c r="E67" s="67" t="n"/>
      <c r="F67" s="67" t="n"/>
      <c r="G67" s="67" t="n"/>
      <c r="H67" s="67" t="n"/>
      <c r="I67" s="7" t="n"/>
      <c r="J67" s="7" t="n"/>
      <c r="K67" s="7" t="n"/>
      <c r="L67" s="68">
        <f>IF(COUNT(C61:C67)&lt;4, "CHƯA ĐỦ DỮ LIỆU", AVERAGE(C61:C67))</f>
        <v/>
      </c>
      <c r="M67" s="69">
        <f>IF(OR(L67="CHƯA ĐỦ DỮ LIỆU", L60="CHƯA ĐỦ DỮ LIỆU"), "-", IF(AND(ISNUMBER(L67), ISNUMBER(L60)), L67-L60, "-"))</f>
        <v/>
      </c>
      <c r="N67" s="70">
        <f>IF(C67="", "", MAX(0, 55-C67))</f>
        <v/>
      </c>
      <c r="O67" s="70">
        <f>IF(C67="", "", MAX(0, 60-C67))</f>
        <v/>
      </c>
      <c r="P67" s="70">
        <f>IF(C67="", "", MAX(0, 65-C67))</f>
        <v/>
      </c>
      <c r="Q67" s="9">
        <f>IF(C67="", "", IF(C67&gt;50.3, "Đang tăng", IF(C67=50.3, "Baseline 19/10", "Đang giảm")))</f>
        <v/>
      </c>
      <c r="R67" s="58" t="n"/>
    </row>
    <row r="68" ht="22" customHeight="1">
      <c r="A68" s="61" t="n">
        <v>46378</v>
      </c>
      <c r="B68" s="9">
        <f>TEXT(A68, "dddd")</f>
        <v/>
      </c>
      <c r="C68" s="65" t="n"/>
      <c r="D68" s="67" t="n"/>
      <c r="E68" s="67" t="n"/>
      <c r="F68" s="67" t="n"/>
      <c r="G68" s="67" t="n"/>
      <c r="H68" s="67" t="n"/>
      <c r="I68" s="7" t="n"/>
      <c r="J68" s="7" t="n"/>
      <c r="K68" s="7" t="n"/>
      <c r="L68" s="68">
        <f>IF(COUNT(C62:C68)&lt;4, "CHƯA ĐỦ DỮ LIỆU", AVERAGE(C62:C68))</f>
        <v/>
      </c>
      <c r="M68" s="69">
        <f>IF(OR(L68="CHƯA ĐỦ DỮ LIỆU", L61="CHƯA ĐỦ DỮ LIỆU"), "-", IF(AND(ISNUMBER(L68), ISNUMBER(L61)), L68-L61, "-"))</f>
        <v/>
      </c>
      <c r="N68" s="70">
        <f>IF(C68="", "", MAX(0, 55-C68))</f>
        <v/>
      </c>
      <c r="O68" s="70">
        <f>IF(C68="", "", MAX(0, 60-C68))</f>
        <v/>
      </c>
      <c r="P68" s="70">
        <f>IF(C68="", "", MAX(0, 65-C68))</f>
        <v/>
      </c>
      <c r="Q68" s="9">
        <f>IF(C68="", "", IF(C68&gt;50.3, "Đang tăng", IF(C68=50.3, "Baseline 19/10", "Đang giảm")))</f>
        <v/>
      </c>
      <c r="R68" s="58" t="n"/>
    </row>
    <row r="69" ht="22" customHeight="1">
      <c r="A69" s="61" t="n">
        <v>46379</v>
      </c>
      <c r="B69" s="9">
        <f>TEXT(A69, "dddd")</f>
        <v/>
      </c>
      <c r="C69" s="65" t="n"/>
      <c r="D69" s="67" t="n"/>
      <c r="E69" s="67" t="n"/>
      <c r="F69" s="67" t="n"/>
      <c r="G69" s="67" t="n"/>
      <c r="H69" s="67" t="n"/>
      <c r="I69" s="7" t="n"/>
      <c r="J69" s="7" t="n"/>
      <c r="K69" s="7" t="n"/>
      <c r="L69" s="68">
        <f>IF(COUNT(C63:C69)&lt;4, "CHƯA ĐỦ DỮ LIỆU", AVERAGE(C63:C69))</f>
        <v/>
      </c>
      <c r="M69" s="69">
        <f>IF(OR(L69="CHƯA ĐỦ DỮ LIỆU", L62="CHƯA ĐỦ DỮ LIỆU"), "-", IF(AND(ISNUMBER(L69), ISNUMBER(L62)), L69-L62, "-"))</f>
        <v/>
      </c>
      <c r="N69" s="70">
        <f>IF(C69="", "", MAX(0, 55-C69))</f>
        <v/>
      </c>
      <c r="O69" s="70">
        <f>IF(C69="", "", MAX(0, 60-C69))</f>
        <v/>
      </c>
      <c r="P69" s="70">
        <f>IF(C69="", "", MAX(0, 65-C69))</f>
        <v/>
      </c>
      <c r="Q69" s="9">
        <f>IF(C69="", "", IF(C69&gt;50.3, "Đang tăng", IF(C69=50.3, "Baseline 19/10", "Đang giảm")))</f>
        <v/>
      </c>
      <c r="R69" s="58" t="n"/>
    </row>
    <row r="70" ht="22" customHeight="1">
      <c r="A70" s="61" t="n">
        <v>46380</v>
      </c>
      <c r="B70" s="9">
        <f>TEXT(A70, "dddd")</f>
        <v/>
      </c>
      <c r="C70" s="65" t="n"/>
      <c r="D70" s="67" t="n"/>
      <c r="E70" s="67" t="n"/>
      <c r="F70" s="67" t="n"/>
      <c r="G70" s="67" t="n"/>
      <c r="H70" s="67" t="n"/>
      <c r="I70" s="7" t="n"/>
      <c r="J70" s="7" t="n"/>
      <c r="K70" s="7" t="n"/>
      <c r="L70" s="68">
        <f>IF(COUNT(C64:C70)&lt;4, "CHƯA ĐỦ DỮ LIỆU", AVERAGE(C64:C70))</f>
        <v/>
      </c>
      <c r="M70" s="69">
        <f>IF(OR(L70="CHƯA ĐỦ DỮ LIỆU", L63="CHƯA ĐỦ DỮ LIỆU"), "-", IF(AND(ISNUMBER(L70), ISNUMBER(L63)), L70-L63, "-"))</f>
        <v/>
      </c>
      <c r="N70" s="70">
        <f>IF(C70="", "", MAX(0, 55-C70))</f>
        <v/>
      </c>
      <c r="O70" s="70">
        <f>IF(C70="", "", MAX(0, 60-C70))</f>
        <v/>
      </c>
      <c r="P70" s="70">
        <f>IF(C70="", "", MAX(0, 65-C70))</f>
        <v/>
      </c>
      <c r="Q70" s="9">
        <f>IF(C70="", "", IF(C70&gt;50.3, "Đang tăng", IF(C70=50.3, "Baseline 19/10", "Đang giảm")))</f>
        <v/>
      </c>
      <c r="R70" s="58" t="n"/>
    </row>
    <row r="71" ht="22" customHeight="1">
      <c r="A71" s="61" t="n">
        <v>46381</v>
      </c>
      <c r="B71" s="9">
        <f>TEXT(A71, "dddd")</f>
        <v/>
      </c>
      <c r="C71" s="65" t="n"/>
      <c r="D71" s="67" t="n"/>
      <c r="E71" s="67" t="n"/>
      <c r="F71" s="67" t="n"/>
      <c r="G71" s="67" t="n"/>
      <c r="H71" s="67" t="n"/>
      <c r="I71" s="7" t="n"/>
      <c r="J71" s="7" t="n"/>
      <c r="K71" s="7" t="n"/>
      <c r="L71" s="68">
        <f>IF(COUNT(C65:C71)&lt;4, "CHƯA ĐỦ DỮ LIỆU", AVERAGE(C65:C71))</f>
        <v/>
      </c>
      <c r="M71" s="69">
        <f>IF(OR(L71="CHƯA ĐỦ DỮ LIỆU", L64="CHƯA ĐỦ DỮ LIỆU"), "-", IF(AND(ISNUMBER(L71), ISNUMBER(L64)), L71-L64, "-"))</f>
        <v/>
      </c>
      <c r="N71" s="70">
        <f>IF(C71="", "", MAX(0, 55-C71))</f>
        <v/>
      </c>
      <c r="O71" s="70">
        <f>IF(C71="", "", MAX(0, 60-C71))</f>
        <v/>
      </c>
      <c r="P71" s="70">
        <f>IF(C71="", "", MAX(0, 65-C71))</f>
        <v/>
      </c>
      <c r="Q71" s="9">
        <f>IF(C71="", "", IF(C71&gt;50.3, "Đang tăng", IF(C71=50.3, "Baseline 19/10", "Đang giảm")))</f>
        <v/>
      </c>
      <c r="R71" s="58" t="n"/>
    </row>
    <row r="72" ht="22" customHeight="1">
      <c r="A72" s="61" t="n">
        <v>46382</v>
      </c>
      <c r="B72" s="9">
        <f>TEXT(A72, "dddd")</f>
        <v/>
      </c>
      <c r="C72" s="65" t="n"/>
      <c r="D72" s="67" t="n"/>
      <c r="E72" s="67" t="n"/>
      <c r="F72" s="67" t="n"/>
      <c r="G72" s="67" t="n"/>
      <c r="H72" s="67" t="n"/>
      <c r="I72" s="7" t="n"/>
      <c r="J72" s="7" t="n"/>
      <c r="K72" s="7" t="n"/>
      <c r="L72" s="68">
        <f>IF(COUNT(C66:C72)&lt;4, "CHƯA ĐỦ DỮ LIỆU", AVERAGE(C66:C72))</f>
        <v/>
      </c>
      <c r="M72" s="69">
        <f>IF(OR(L72="CHƯA ĐỦ DỮ LIỆU", L65="CHƯA ĐỦ DỮ LIỆU"), "-", IF(AND(ISNUMBER(L72), ISNUMBER(L65)), L72-L65, "-"))</f>
        <v/>
      </c>
      <c r="N72" s="70">
        <f>IF(C72="", "", MAX(0, 55-C72))</f>
        <v/>
      </c>
      <c r="O72" s="70">
        <f>IF(C72="", "", MAX(0, 60-C72))</f>
        <v/>
      </c>
      <c r="P72" s="70">
        <f>IF(C72="", "", MAX(0, 65-C72))</f>
        <v/>
      </c>
      <c r="Q72" s="9">
        <f>IF(C72="", "", IF(C72&gt;50.3, "Đang tăng", IF(C72=50.3, "Baseline 19/10", "Đang giảm")))</f>
        <v/>
      </c>
      <c r="R72" s="58" t="n"/>
    </row>
    <row r="73" ht="22" customHeight="1">
      <c r="A73" s="61" t="n">
        <v>46383</v>
      </c>
      <c r="B73" s="9">
        <f>TEXT(A73, "dddd")</f>
        <v/>
      </c>
      <c r="C73" s="65" t="n"/>
      <c r="D73" s="67" t="n"/>
      <c r="E73" s="67" t="n"/>
      <c r="F73" s="67" t="n"/>
      <c r="G73" s="67" t="n"/>
      <c r="H73" s="67" t="n"/>
      <c r="I73" s="7" t="n"/>
      <c r="J73" s="7" t="n"/>
      <c r="K73" s="7" t="n"/>
      <c r="L73" s="68">
        <f>IF(COUNT(C67:C73)&lt;4, "CHƯA ĐỦ DỮ LIỆU", AVERAGE(C67:C73))</f>
        <v/>
      </c>
      <c r="M73" s="69">
        <f>IF(OR(L73="CHƯA ĐỦ DỮ LIỆU", L66="CHƯA ĐỦ DỮ LIỆU"), "-", IF(AND(ISNUMBER(L73), ISNUMBER(L66)), L73-L66, "-"))</f>
        <v/>
      </c>
      <c r="N73" s="70">
        <f>IF(C73="", "", MAX(0, 55-C73))</f>
        <v/>
      </c>
      <c r="O73" s="70">
        <f>IF(C73="", "", MAX(0, 60-C73))</f>
        <v/>
      </c>
      <c r="P73" s="70">
        <f>IF(C73="", "", MAX(0, 65-C73))</f>
        <v/>
      </c>
      <c r="Q73" s="9">
        <f>IF(C73="", "", IF(C73&gt;50.3, "Đang tăng", IF(C73=50.3, "Baseline 19/10", "Đang giảm")))</f>
        <v/>
      </c>
      <c r="R73" s="58" t="n"/>
    </row>
    <row r="74" ht="22" customHeight="1">
      <c r="A74" s="61" t="n">
        <v>46384</v>
      </c>
      <c r="B74" s="9">
        <f>TEXT(A74, "dddd")</f>
        <v/>
      </c>
      <c r="C74" s="65" t="n"/>
      <c r="D74" s="67" t="n"/>
      <c r="E74" s="67" t="n"/>
      <c r="F74" s="67" t="n"/>
      <c r="G74" s="67" t="n"/>
      <c r="H74" s="67" t="n"/>
      <c r="I74" s="7" t="n"/>
      <c r="J74" s="7" t="n"/>
      <c r="K74" s="7" t="n"/>
      <c r="L74" s="68">
        <f>IF(COUNT(C68:C74)&lt;4, "CHƯA ĐỦ DỮ LIỆU", AVERAGE(C68:C74))</f>
        <v/>
      </c>
      <c r="M74" s="69">
        <f>IF(OR(L74="CHƯA ĐỦ DỮ LIỆU", L67="CHƯA ĐỦ DỮ LIỆU"), "-", IF(AND(ISNUMBER(L74), ISNUMBER(L67)), L74-L67, "-"))</f>
        <v/>
      </c>
      <c r="N74" s="70">
        <f>IF(C74="", "", MAX(0, 55-C74))</f>
        <v/>
      </c>
      <c r="O74" s="70">
        <f>IF(C74="", "", MAX(0, 60-C74))</f>
        <v/>
      </c>
      <c r="P74" s="70">
        <f>IF(C74="", "", MAX(0, 65-C74))</f>
        <v/>
      </c>
      <c r="Q74" s="9">
        <f>IF(C74="", "", IF(C74&gt;50.3, "Đang tăng", IF(C74=50.3, "Baseline 19/10", "Đang giảm")))</f>
        <v/>
      </c>
      <c r="R74" s="58" t="n"/>
    </row>
    <row r="75" ht="22" customHeight="1">
      <c r="A75" s="61" t="n">
        <v>46385</v>
      </c>
      <c r="B75" s="9">
        <f>TEXT(A75, "dddd")</f>
        <v/>
      </c>
      <c r="C75" s="65" t="n"/>
      <c r="D75" s="67" t="n"/>
      <c r="E75" s="67" t="n"/>
      <c r="F75" s="67" t="n"/>
      <c r="G75" s="67" t="n"/>
      <c r="H75" s="67" t="n"/>
      <c r="I75" s="7" t="n"/>
      <c r="J75" s="7" t="n"/>
      <c r="K75" s="7" t="n"/>
      <c r="L75" s="68">
        <f>IF(COUNT(C69:C75)&lt;4, "CHƯA ĐỦ DỮ LIỆU", AVERAGE(C69:C75))</f>
        <v/>
      </c>
      <c r="M75" s="69">
        <f>IF(OR(L75="CHƯA ĐỦ DỮ LIỆU", L68="CHƯA ĐỦ DỮ LIỆU"), "-", IF(AND(ISNUMBER(L75), ISNUMBER(L68)), L75-L68, "-"))</f>
        <v/>
      </c>
      <c r="N75" s="70">
        <f>IF(C75="", "", MAX(0, 55-C75))</f>
        <v/>
      </c>
      <c r="O75" s="70">
        <f>IF(C75="", "", MAX(0, 60-C75))</f>
        <v/>
      </c>
      <c r="P75" s="70">
        <f>IF(C75="", "", MAX(0, 65-C75))</f>
        <v/>
      </c>
      <c r="Q75" s="9">
        <f>IF(C75="", "", IF(C75&gt;50.3, "Đang tăng", IF(C75=50.3, "Baseline 19/10", "Đang giảm")))</f>
        <v/>
      </c>
      <c r="R75" s="58" t="n"/>
    </row>
    <row r="76" ht="22" customHeight="1">
      <c r="A76" s="61" t="n">
        <v>46386</v>
      </c>
      <c r="B76" s="9">
        <f>TEXT(A76, "dddd")</f>
        <v/>
      </c>
      <c r="C76" s="65" t="n"/>
      <c r="D76" s="67" t="n"/>
      <c r="E76" s="67" t="n"/>
      <c r="F76" s="67" t="n"/>
      <c r="G76" s="67" t="n"/>
      <c r="H76" s="67" t="n"/>
      <c r="I76" s="7" t="n"/>
      <c r="J76" s="7" t="n"/>
      <c r="K76" s="7" t="n"/>
      <c r="L76" s="68">
        <f>IF(COUNT(C70:C76)&lt;4, "CHƯA ĐỦ DỮ LIỆU", AVERAGE(C70:C76))</f>
        <v/>
      </c>
      <c r="M76" s="69">
        <f>IF(OR(L76="CHƯA ĐỦ DỮ LIỆU", L69="CHƯA ĐỦ DỮ LIỆU"), "-", IF(AND(ISNUMBER(L76), ISNUMBER(L69)), L76-L69, "-"))</f>
        <v/>
      </c>
      <c r="N76" s="70">
        <f>IF(C76="", "", MAX(0, 55-C76))</f>
        <v/>
      </c>
      <c r="O76" s="70">
        <f>IF(C76="", "", MAX(0, 60-C76))</f>
        <v/>
      </c>
      <c r="P76" s="70">
        <f>IF(C76="", "", MAX(0, 65-C76))</f>
        <v/>
      </c>
      <c r="Q76" s="9">
        <f>IF(C76="", "", IF(C76&gt;50.3, "Đang tăng", IF(C76=50.3, "Baseline 19/10", "Đang giảm")))</f>
        <v/>
      </c>
      <c r="R76" s="58" t="n"/>
    </row>
    <row r="77" ht="22" customHeight="1">
      <c r="A77" s="61" t="n">
        <v>46387</v>
      </c>
      <c r="B77" s="9">
        <f>TEXT(A77, "dddd")</f>
        <v/>
      </c>
      <c r="C77" s="65" t="n"/>
      <c r="D77" s="67" t="n"/>
      <c r="E77" s="67" t="n"/>
      <c r="F77" s="67" t="n"/>
      <c r="G77" s="67" t="n"/>
      <c r="H77" s="67" t="n"/>
      <c r="I77" s="7" t="n"/>
      <c r="J77" s="7" t="n"/>
      <c r="K77" s="7" t="n"/>
      <c r="L77" s="68">
        <f>IF(COUNT(C71:C77)&lt;4, "CHƯA ĐỦ DỮ LIỆU", AVERAGE(C71:C77))</f>
        <v/>
      </c>
      <c r="M77" s="69">
        <f>IF(OR(L77="CHƯA ĐỦ DỮ LIỆU", L70="CHƯA ĐỦ DỮ LIỆU"), "-", IF(AND(ISNUMBER(L77), ISNUMBER(L70)), L77-L70, "-"))</f>
        <v/>
      </c>
      <c r="N77" s="70">
        <f>IF(C77="", "", MAX(0, 55-C77))</f>
        <v/>
      </c>
      <c r="O77" s="70">
        <f>IF(C77="", "", MAX(0, 60-C77))</f>
        <v/>
      </c>
      <c r="P77" s="70">
        <f>IF(C77="", "", MAX(0, 65-C77))</f>
        <v/>
      </c>
      <c r="Q77" s="9">
        <f>IF(C77="", "", IF(C77&gt;50.3, "Đang tăng", IF(C77=50.3, "Baseline 19/10", "Đang giảm")))</f>
        <v/>
      </c>
      <c r="R77" s="58" t="n"/>
    </row>
    <row r="78" ht="22" customHeight="1">
      <c r="A78" s="61" t="n">
        <v>46388</v>
      </c>
      <c r="B78" s="9">
        <f>TEXT(A78, "dddd")</f>
        <v/>
      </c>
      <c r="C78" s="65" t="n"/>
      <c r="D78" s="67" t="n"/>
      <c r="E78" s="67" t="n"/>
      <c r="F78" s="67" t="n"/>
      <c r="G78" s="67" t="n"/>
      <c r="H78" s="67" t="n"/>
      <c r="I78" s="7" t="n"/>
      <c r="J78" s="7" t="n"/>
      <c r="K78" s="7" t="n"/>
      <c r="L78" s="68">
        <f>IF(COUNT(C72:C78)&lt;4, "CHƯA ĐỦ DỮ LIỆU", AVERAGE(C72:C78))</f>
        <v/>
      </c>
      <c r="M78" s="69">
        <f>IF(OR(L78="CHƯA ĐỦ DỮ LIỆU", L71="CHƯA ĐỦ DỮ LIỆU"), "-", IF(AND(ISNUMBER(L78), ISNUMBER(L71)), L78-L71, "-"))</f>
        <v/>
      </c>
      <c r="N78" s="70">
        <f>IF(C78="", "", MAX(0, 55-C78))</f>
        <v/>
      </c>
      <c r="O78" s="70">
        <f>IF(C78="", "", MAX(0, 60-C78))</f>
        <v/>
      </c>
      <c r="P78" s="70">
        <f>IF(C78="", "", MAX(0, 65-C78))</f>
        <v/>
      </c>
      <c r="Q78" s="9">
        <f>IF(C78="", "", IF(C78&gt;50.3, "Đang tăng", IF(C78=50.3, "Baseline 19/10", "Đang giảm")))</f>
        <v/>
      </c>
      <c r="R78" s="58" t="n"/>
    </row>
    <row r="79" ht="22" customHeight="1">
      <c r="A79" s="61" t="n">
        <v>46389</v>
      </c>
      <c r="B79" s="9">
        <f>TEXT(A79, "dddd")</f>
        <v/>
      </c>
      <c r="C79" s="65" t="n"/>
      <c r="D79" s="67" t="n"/>
      <c r="E79" s="67" t="n"/>
      <c r="F79" s="67" t="n"/>
      <c r="G79" s="67" t="n"/>
      <c r="H79" s="67" t="n"/>
      <c r="I79" s="7" t="n"/>
      <c r="J79" s="7" t="n"/>
      <c r="K79" s="7" t="n"/>
      <c r="L79" s="68">
        <f>IF(COUNT(C73:C79)&lt;4, "CHƯA ĐỦ DỮ LIỆU", AVERAGE(C73:C79))</f>
        <v/>
      </c>
      <c r="M79" s="69">
        <f>IF(OR(L79="CHƯA ĐỦ DỮ LIỆU", L72="CHƯA ĐỦ DỮ LIỆU"), "-", IF(AND(ISNUMBER(L79), ISNUMBER(L72)), L79-L72, "-"))</f>
        <v/>
      </c>
      <c r="N79" s="70">
        <f>IF(C79="", "", MAX(0, 55-C79))</f>
        <v/>
      </c>
      <c r="O79" s="70">
        <f>IF(C79="", "", MAX(0, 60-C79))</f>
        <v/>
      </c>
      <c r="P79" s="70">
        <f>IF(C79="", "", MAX(0, 65-C79))</f>
        <v/>
      </c>
      <c r="Q79" s="9">
        <f>IF(C79="", "", IF(C79&gt;50.3, "Đang tăng", IF(C79=50.3, "Baseline 19/10", "Đang giảm")))</f>
        <v/>
      </c>
      <c r="R79" s="58" t="n"/>
    </row>
    <row r="80" ht="22" customHeight="1">
      <c r="A80" s="61" t="n">
        <v>46390</v>
      </c>
      <c r="B80" s="9">
        <f>TEXT(A80, "dddd")</f>
        <v/>
      </c>
      <c r="C80" s="65" t="n"/>
      <c r="D80" s="67" t="n"/>
      <c r="E80" s="67" t="n"/>
      <c r="F80" s="67" t="n"/>
      <c r="G80" s="67" t="n"/>
      <c r="H80" s="67" t="n"/>
      <c r="I80" s="7" t="n"/>
      <c r="J80" s="7" t="n"/>
      <c r="K80" s="7" t="n"/>
      <c r="L80" s="68">
        <f>IF(COUNT(C74:C80)&lt;4, "CHƯA ĐỦ DỮ LIỆU", AVERAGE(C74:C80))</f>
        <v/>
      </c>
      <c r="M80" s="69">
        <f>IF(OR(L80="CHƯA ĐỦ DỮ LIỆU", L73="CHƯA ĐỦ DỮ LIỆU"), "-", IF(AND(ISNUMBER(L80), ISNUMBER(L73)), L80-L73, "-"))</f>
        <v/>
      </c>
      <c r="N80" s="70">
        <f>IF(C80="", "", MAX(0, 55-C80))</f>
        <v/>
      </c>
      <c r="O80" s="70">
        <f>IF(C80="", "", MAX(0, 60-C80))</f>
        <v/>
      </c>
      <c r="P80" s="70">
        <f>IF(C80="", "", MAX(0, 65-C80))</f>
        <v/>
      </c>
      <c r="Q80" s="9">
        <f>IF(C80="", "", IF(C80&gt;50.3, "Đang tăng", IF(C80=50.3, "Baseline 19/10", "Đang giảm")))</f>
        <v/>
      </c>
      <c r="R80" s="58" t="n"/>
    </row>
    <row r="81" ht="22" customHeight="1">
      <c r="A81" s="61" t="n">
        <v>46391</v>
      </c>
      <c r="B81" s="9">
        <f>TEXT(A81, "dddd")</f>
        <v/>
      </c>
      <c r="C81" s="65" t="n"/>
      <c r="D81" s="67" t="n"/>
      <c r="E81" s="67" t="n"/>
      <c r="F81" s="67" t="n"/>
      <c r="G81" s="67" t="n"/>
      <c r="H81" s="67" t="n"/>
      <c r="I81" s="7" t="n"/>
      <c r="J81" s="7" t="n"/>
      <c r="K81" s="7" t="n"/>
      <c r="L81" s="68">
        <f>IF(COUNT(C75:C81)&lt;4, "CHƯA ĐỦ DỮ LIỆU", AVERAGE(C75:C81))</f>
        <v/>
      </c>
      <c r="M81" s="69">
        <f>IF(OR(L81="CHƯA ĐỦ DỮ LIỆU", L74="CHƯA ĐỦ DỮ LIỆU"), "-", IF(AND(ISNUMBER(L81), ISNUMBER(L74)), L81-L74, "-"))</f>
        <v/>
      </c>
      <c r="N81" s="70">
        <f>IF(C81="", "", MAX(0, 55-C81))</f>
        <v/>
      </c>
      <c r="O81" s="70">
        <f>IF(C81="", "", MAX(0, 60-C81))</f>
        <v/>
      </c>
      <c r="P81" s="70">
        <f>IF(C81="", "", MAX(0, 65-C81))</f>
        <v/>
      </c>
      <c r="Q81" s="9">
        <f>IF(C81="", "", IF(C81&gt;50.3, "Đang tăng", IF(C81=50.3, "Baseline 19/10", "Đang giảm")))</f>
        <v/>
      </c>
      <c r="R81" s="58" t="n"/>
    </row>
    <row r="82" ht="22" customHeight="1">
      <c r="A82" s="61" t="n">
        <v>46392</v>
      </c>
      <c r="B82" s="9">
        <f>TEXT(A82, "dddd")</f>
        <v/>
      </c>
      <c r="C82" s="65" t="n"/>
      <c r="D82" s="67" t="n"/>
      <c r="E82" s="67" t="n"/>
      <c r="F82" s="67" t="n"/>
      <c r="G82" s="67" t="n"/>
      <c r="H82" s="67" t="n"/>
      <c r="I82" s="7" t="n"/>
      <c r="J82" s="7" t="n"/>
      <c r="K82" s="7" t="n"/>
      <c r="L82" s="68">
        <f>IF(COUNT(C76:C82)&lt;4, "CHƯA ĐỦ DỮ LIỆU", AVERAGE(C76:C82))</f>
        <v/>
      </c>
      <c r="M82" s="69">
        <f>IF(OR(L82="CHƯA ĐỦ DỮ LIỆU", L75="CHƯA ĐỦ DỮ LIỆU"), "-", IF(AND(ISNUMBER(L82), ISNUMBER(L75)), L82-L75, "-"))</f>
        <v/>
      </c>
      <c r="N82" s="70">
        <f>IF(C82="", "", MAX(0, 55-C82))</f>
        <v/>
      </c>
      <c r="O82" s="70">
        <f>IF(C82="", "", MAX(0, 60-C82))</f>
        <v/>
      </c>
      <c r="P82" s="70">
        <f>IF(C82="", "", MAX(0, 65-C82))</f>
        <v/>
      </c>
      <c r="Q82" s="9">
        <f>IF(C82="", "", IF(C82&gt;50.3, "Đang tăng", IF(C82=50.3, "Baseline 19/10", "Đang giảm")))</f>
        <v/>
      </c>
      <c r="R82" s="58" t="n"/>
    </row>
    <row r="83" ht="22" customHeight="1">
      <c r="A83" s="61" t="n">
        <v>46393</v>
      </c>
      <c r="B83" s="9">
        <f>TEXT(A83, "dddd")</f>
        <v/>
      </c>
      <c r="C83" s="65" t="n"/>
      <c r="D83" s="67" t="n"/>
      <c r="E83" s="67" t="n"/>
      <c r="F83" s="67" t="n"/>
      <c r="G83" s="67" t="n"/>
      <c r="H83" s="67" t="n"/>
      <c r="I83" s="7" t="n"/>
      <c r="J83" s="7" t="n"/>
      <c r="K83" s="7" t="n"/>
      <c r="L83" s="68">
        <f>IF(COUNT(C77:C83)&lt;4, "CHƯA ĐỦ DỮ LIỆU", AVERAGE(C77:C83))</f>
        <v/>
      </c>
      <c r="M83" s="69">
        <f>IF(OR(L83="CHƯA ĐỦ DỮ LIỆU", L76="CHƯA ĐỦ DỮ LIỆU"), "-", IF(AND(ISNUMBER(L83), ISNUMBER(L76)), L83-L76, "-"))</f>
        <v/>
      </c>
      <c r="N83" s="70">
        <f>IF(C83="", "", MAX(0, 55-C83))</f>
        <v/>
      </c>
      <c r="O83" s="70">
        <f>IF(C83="", "", MAX(0, 60-C83))</f>
        <v/>
      </c>
      <c r="P83" s="70">
        <f>IF(C83="", "", MAX(0, 65-C83))</f>
        <v/>
      </c>
      <c r="Q83" s="9">
        <f>IF(C83="", "", IF(C83&gt;50.3, "Đang tăng", IF(C83=50.3, "Baseline 19/10", "Đang giảm")))</f>
        <v/>
      </c>
      <c r="R83" s="58" t="n"/>
    </row>
    <row r="84" ht="22" customHeight="1">
      <c r="A84" s="61" t="n">
        <v>46394</v>
      </c>
      <c r="B84" s="9">
        <f>TEXT(A84, "dddd")</f>
        <v/>
      </c>
      <c r="C84" s="65" t="n"/>
      <c r="D84" s="67" t="n"/>
      <c r="E84" s="67" t="n"/>
      <c r="F84" s="67" t="n"/>
      <c r="G84" s="67" t="n"/>
      <c r="H84" s="67" t="n"/>
      <c r="I84" s="7" t="n"/>
      <c r="J84" s="7" t="n"/>
      <c r="K84" s="7" t="n"/>
      <c r="L84" s="68">
        <f>IF(COUNT(C78:C84)&lt;4, "CHƯA ĐỦ DỮ LIỆU", AVERAGE(C78:C84))</f>
        <v/>
      </c>
      <c r="M84" s="69">
        <f>IF(OR(L84="CHƯA ĐỦ DỮ LIỆU", L77="CHƯA ĐỦ DỮ LIỆU"), "-", IF(AND(ISNUMBER(L84), ISNUMBER(L77)), L84-L77, "-"))</f>
        <v/>
      </c>
      <c r="N84" s="70">
        <f>IF(C84="", "", MAX(0, 55-C84))</f>
        <v/>
      </c>
      <c r="O84" s="70">
        <f>IF(C84="", "", MAX(0, 60-C84))</f>
        <v/>
      </c>
      <c r="P84" s="70">
        <f>IF(C84="", "", MAX(0, 65-C84))</f>
        <v/>
      </c>
      <c r="Q84" s="9">
        <f>IF(C84="", "", IF(C84&gt;50.3, "Đang tăng", IF(C84=50.3, "Baseline 19/10", "Đang giảm")))</f>
        <v/>
      </c>
      <c r="R84" s="58" t="n"/>
    </row>
    <row r="85" ht="22" customHeight="1">
      <c r="A85" s="61" t="n">
        <v>46395</v>
      </c>
      <c r="B85" s="9">
        <f>TEXT(A85, "dddd")</f>
        <v/>
      </c>
      <c r="C85" s="65" t="n"/>
      <c r="D85" s="67" t="n"/>
      <c r="E85" s="67" t="n"/>
      <c r="F85" s="67" t="n"/>
      <c r="G85" s="67" t="n"/>
      <c r="H85" s="67" t="n"/>
      <c r="I85" s="7" t="n"/>
      <c r="J85" s="7" t="n"/>
      <c r="K85" s="7" t="n"/>
      <c r="L85" s="68">
        <f>IF(COUNT(C79:C85)&lt;4, "CHƯA ĐỦ DỮ LIỆU", AVERAGE(C79:C85))</f>
        <v/>
      </c>
      <c r="M85" s="69">
        <f>IF(OR(L85="CHƯA ĐỦ DỮ LIỆU", L78="CHƯA ĐỦ DỮ LIỆU"), "-", IF(AND(ISNUMBER(L85), ISNUMBER(L78)), L85-L78, "-"))</f>
        <v/>
      </c>
      <c r="N85" s="70">
        <f>IF(C85="", "", MAX(0, 55-C85))</f>
        <v/>
      </c>
      <c r="O85" s="70">
        <f>IF(C85="", "", MAX(0, 60-C85))</f>
        <v/>
      </c>
      <c r="P85" s="70">
        <f>IF(C85="", "", MAX(0, 65-C85))</f>
        <v/>
      </c>
      <c r="Q85" s="9">
        <f>IF(C85="", "", IF(C85&gt;50.3, "Đang tăng", IF(C85=50.3, "Baseline 19/10", "Đang giảm")))</f>
        <v/>
      </c>
      <c r="R85" s="58" t="n"/>
    </row>
    <row r="86" ht="22" customHeight="1">
      <c r="A86" s="61" t="n">
        <v>46396</v>
      </c>
      <c r="B86" s="9">
        <f>TEXT(A86, "dddd")</f>
        <v/>
      </c>
      <c r="C86" s="65" t="n"/>
      <c r="D86" s="67" t="n"/>
      <c r="E86" s="67" t="n"/>
      <c r="F86" s="67" t="n"/>
      <c r="G86" s="67" t="n"/>
      <c r="H86" s="67" t="n"/>
      <c r="I86" s="7" t="n"/>
      <c r="J86" s="7" t="n"/>
      <c r="K86" s="7" t="n"/>
      <c r="L86" s="68">
        <f>IF(COUNT(C80:C86)&lt;4, "CHƯA ĐỦ DỮ LIỆU", AVERAGE(C80:C86))</f>
        <v/>
      </c>
      <c r="M86" s="69">
        <f>IF(OR(L86="CHƯA ĐỦ DỮ LIỆU", L79="CHƯA ĐỦ DỮ LIỆU"), "-", IF(AND(ISNUMBER(L86), ISNUMBER(L79)), L86-L79, "-"))</f>
        <v/>
      </c>
      <c r="N86" s="70">
        <f>IF(C86="", "", MAX(0, 55-C86))</f>
        <v/>
      </c>
      <c r="O86" s="70">
        <f>IF(C86="", "", MAX(0, 60-C86))</f>
        <v/>
      </c>
      <c r="P86" s="70">
        <f>IF(C86="", "", MAX(0, 65-C86))</f>
        <v/>
      </c>
      <c r="Q86" s="9">
        <f>IF(C86="", "", IF(C86&gt;50.3, "Đang tăng", IF(C86=50.3, "Baseline 19/10", "Đang giảm")))</f>
        <v/>
      </c>
      <c r="R86" s="58" t="n"/>
    </row>
    <row r="87" ht="22" customHeight="1">
      <c r="A87" s="61" t="n">
        <v>46397</v>
      </c>
      <c r="B87" s="9">
        <f>TEXT(A87, "dddd")</f>
        <v/>
      </c>
      <c r="C87" s="65" t="n"/>
      <c r="D87" s="67" t="n"/>
      <c r="E87" s="67" t="n"/>
      <c r="F87" s="67" t="n"/>
      <c r="G87" s="67" t="n"/>
      <c r="H87" s="67" t="n"/>
      <c r="I87" s="7" t="n"/>
      <c r="J87" s="7" t="n"/>
      <c r="K87" s="7" t="n"/>
      <c r="L87" s="68">
        <f>IF(COUNT(C81:C87)&lt;4, "CHƯA ĐỦ DỮ LIỆU", AVERAGE(C81:C87))</f>
        <v/>
      </c>
      <c r="M87" s="69">
        <f>IF(OR(L87="CHƯA ĐỦ DỮ LIỆU", L80="CHƯA ĐỦ DỮ LIỆU"), "-", IF(AND(ISNUMBER(L87), ISNUMBER(L80)), L87-L80, "-"))</f>
        <v/>
      </c>
      <c r="N87" s="70">
        <f>IF(C87="", "", MAX(0, 55-C87))</f>
        <v/>
      </c>
      <c r="O87" s="70">
        <f>IF(C87="", "", MAX(0, 60-C87))</f>
        <v/>
      </c>
      <c r="P87" s="70">
        <f>IF(C87="", "", MAX(0, 65-C87))</f>
        <v/>
      </c>
      <c r="Q87" s="9">
        <f>IF(C87="", "", IF(C87&gt;50.3, "Đang tăng", IF(C87=50.3, "Baseline 19/10", "Đang giảm")))</f>
        <v/>
      </c>
      <c r="R87" s="58" t="n"/>
    </row>
    <row r="88" ht="22" customHeight="1">
      <c r="A88" s="61" t="n">
        <v>46398</v>
      </c>
      <c r="B88" s="9">
        <f>TEXT(A88, "dddd")</f>
        <v/>
      </c>
      <c r="C88" s="65" t="n"/>
      <c r="D88" s="67" t="n"/>
      <c r="E88" s="67" t="n"/>
      <c r="F88" s="67" t="n"/>
      <c r="G88" s="67" t="n"/>
      <c r="H88" s="67" t="n"/>
      <c r="I88" s="7" t="n"/>
      <c r="J88" s="7" t="n"/>
      <c r="K88" s="7" t="n"/>
      <c r="L88" s="68">
        <f>IF(COUNT(C82:C88)&lt;4, "CHƯA ĐỦ DỮ LIỆU", AVERAGE(C82:C88))</f>
        <v/>
      </c>
      <c r="M88" s="69">
        <f>IF(OR(L88="CHƯA ĐỦ DỮ LIỆU", L81="CHƯA ĐỦ DỮ LIỆU"), "-", IF(AND(ISNUMBER(L88), ISNUMBER(L81)), L88-L81, "-"))</f>
        <v/>
      </c>
      <c r="N88" s="70">
        <f>IF(C88="", "", MAX(0, 55-C88))</f>
        <v/>
      </c>
      <c r="O88" s="70">
        <f>IF(C88="", "", MAX(0, 60-C88))</f>
        <v/>
      </c>
      <c r="P88" s="70">
        <f>IF(C88="", "", MAX(0, 65-C88))</f>
        <v/>
      </c>
      <c r="Q88" s="9">
        <f>IF(C88="", "", IF(C88&gt;50.3, "Đang tăng", IF(C88=50.3, "Baseline 19/10", "Đang giảm")))</f>
        <v/>
      </c>
      <c r="R88" s="58" t="n"/>
    </row>
    <row r="89" ht="22" customHeight="1">
      <c r="A89" s="61" t="n">
        <v>46399</v>
      </c>
      <c r="B89" s="9">
        <f>TEXT(A89, "dddd")</f>
        <v/>
      </c>
      <c r="C89" s="65" t="n"/>
      <c r="D89" s="67" t="n"/>
      <c r="E89" s="67" t="n"/>
      <c r="F89" s="67" t="n"/>
      <c r="G89" s="67" t="n"/>
      <c r="H89" s="67" t="n"/>
      <c r="I89" s="7" t="n"/>
      <c r="J89" s="7" t="n"/>
      <c r="K89" s="7" t="n"/>
      <c r="L89" s="68">
        <f>IF(COUNT(C83:C89)&lt;4, "CHƯA ĐỦ DỮ LIỆU", AVERAGE(C83:C89))</f>
        <v/>
      </c>
      <c r="M89" s="69">
        <f>IF(OR(L89="CHƯA ĐỦ DỮ LIỆU", L82="CHƯA ĐỦ DỮ LIỆU"), "-", IF(AND(ISNUMBER(L89), ISNUMBER(L82)), L89-L82, "-"))</f>
        <v/>
      </c>
      <c r="N89" s="70">
        <f>IF(C89="", "", MAX(0, 55-C89))</f>
        <v/>
      </c>
      <c r="O89" s="70">
        <f>IF(C89="", "", MAX(0, 60-C89))</f>
        <v/>
      </c>
      <c r="P89" s="70">
        <f>IF(C89="", "", MAX(0, 65-C89))</f>
        <v/>
      </c>
      <c r="Q89" s="9">
        <f>IF(C89="", "", IF(C89&gt;50.3, "Đang tăng", IF(C89=50.3, "Baseline 19/10", "Đang giảm")))</f>
        <v/>
      </c>
      <c r="R89" s="58" t="n"/>
    </row>
    <row r="90" ht="22" customHeight="1">
      <c r="A90" s="61" t="n">
        <v>46400</v>
      </c>
      <c r="B90" s="9">
        <f>TEXT(A90, "dddd")</f>
        <v/>
      </c>
      <c r="C90" s="65" t="n"/>
      <c r="D90" s="67" t="n"/>
      <c r="E90" s="67" t="n"/>
      <c r="F90" s="67" t="n"/>
      <c r="G90" s="67" t="n"/>
      <c r="H90" s="67" t="n"/>
      <c r="I90" s="7" t="n"/>
      <c r="J90" s="7" t="n"/>
      <c r="K90" s="7" t="n"/>
      <c r="L90" s="68">
        <f>IF(COUNT(C84:C90)&lt;4, "CHƯA ĐỦ DỮ LIỆU", AVERAGE(C84:C90))</f>
        <v/>
      </c>
      <c r="M90" s="69">
        <f>IF(OR(L90="CHƯA ĐỦ DỮ LIỆU", L83="CHƯA ĐỦ DỮ LIỆU"), "-", IF(AND(ISNUMBER(L90), ISNUMBER(L83)), L90-L83, "-"))</f>
        <v/>
      </c>
      <c r="N90" s="70">
        <f>IF(C90="", "", MAX(0, 55-C90))</f>
        <v/>
      </c>
      <c r="O90" s="70">
        <f>IF(C90="", "", MAX(0, 60-C90))</f>
        <v/>
      </c>
      <c r="P90" s="70">
        <f>IF(C90="", "", MAX(0, 65-C90))</f>
        <v/>
      </c>
      <c r="Q90" s="9">
        <f>IF(C90="", "", IF(C90&gt;50.3, "Đang tăng", IF(C90=50.3, "Baseline 19/10", "Đang giảm")))</f>
        <v/>
      </c>
      <c r="R90" s="58" t="n"/>
    </row>
    <row r="91" ht="22" customHeight="1">
      <c r="A91" s="61" t="n">
        <v>46401</v>
      </c>
      <c r="B91" s="9">
        <f>TEXT(A91, "dddd")</f>
        <v/>
      </c>
      <c r="C91" s="65" t="n"/>
      <c r="D91" s="67" t="n"/>
      <c r="E91" s="67" t="n"/>
      <c r="F91" s="67" t="n"/>
      <c r="G91" s="67" t="n"/>
      <c r="H91" s="67" t="n"/>
      <c r="I91" s="7" t="n"/>
      <c r="J91" s="7" t="n"/>
      <c r="K91" s="7" t="n"/>
      <c r="L91" s="68">
        <f>IF(COUNT(C85:C91)&lt;4, "CHƯA ĐỦ DỮ LIỆU", AVERAGE(C85:C91))</f>
        <v/>
      </c>
      <c r="M91" s="69">
        <f>IF(OR(L91="CHƯA ĐỦ DỮ LIỆU", L84="CHƯA ĐỦ DỮ LIỆU"), "-", IF(AND(ISNUMBER(L91), ISNUMBER(L84)), L91-L84, "-"))</f>
        <v/>
      </c>
      <c r="N91" s="70">
        <f>IF(C91="", "", MAX(0, 55-C91))</f>
        <v/>
      </c>
      <c r="O91" s="70">
        <f>IF(C91="", "", MAX(0, 60-C91))</f>
        <v/>
      </c>
      <c r="P91" s="70">
        <f>IF(C91="", "", MAX(0, 65-C91))</f>
        <v/>
      </c>
      <c r="Q91" s="9">
        <f>IF(C91="", "", IF(C91&gt;50.3, "Đang tăng", IF(C91=50.3, "Baseline 19/10", "Đang giảm")))</f>
        <v/>
      </c>
      <c r="R91" s="58" t="n"/>
    </row>
    <row r="92" ht="22" customHeight="1">
      <c r="A92" s="61" t="n">
        <v>46402</v>
      </c>
      <c r="B92" s="9">
        <f>TEXT(A92, "dddd")</f>
        <v/>
      </c>
      <c r="C92" s="65" t="n"/>
      <c r="D92" s="67" t="n"/>
      <c r="E92" s="67" t="n"/>
      <c r="F92" s="67" t="n"/>
      <c r="G92" s="67" t="n"/>
      <c r="H92" s="67" t="n"/>
      <c r="I92" s="7" t="n"/>
      <c r="J92" s="7" t="n"/>
      <c r="K92" s="7" t="n"/>
      <c r="L92" s="68">
        <f>IF(COUNT(C86:C92)&lt;4, "CHƯA ĐỦ DỮ LIỆU", AVERAGE(C86:C92))</f>
        <v/>
      </c>
      <c r="M92" s="69">
        <f>IF(OR(L92="CHƯA ĐỦ DỮ LIỆU", L85="CHƯA ĐỦ DỮ LIỆU"), "-", IF(AND(ISNUMBER(L92), ISNUMBER(L85)), L92-L85, "-"))</f>
        <v/>
      </c>
      <c r="N92" s="70">
        <f>IF(C92="", "", MAX(0, 55-C92))</f>
        <v/>
      </c>
      <c r="O92" s="70">
        <f>IF(C92="", "", MAX(0, 60-C92))</f>
        <v/>
      </c>
      <c r="P92" s="70">
        <f>IF(C92="", "", MAX(0, 65-C92))</f>
        <v/>
      </c>
      <c r="Q92" s="9">
        <f>IF(C92="", "", IF(C92&gt;50.3, "Đang tăng", IF(C92=50.3, "Baseline 19/10", "Đang giảm")))</f>
        <v/>
      </c>
      <c r="R92" s="58" t="n"/>
    </row>
    <row r="93" ht="22" customHeight="1">
      <c r="A93" s="61" t="n">
        <v>46403</v>
      </c>
      <c r="B93" s="9">
        <f>TEXT(A93, "dddd")</f>
        <v/>
      </c>
      <c r="C93" s="65" t="n"/>
      <c r="D93" s="67" t="n"/>
      <c r="E93" s="67" t="n"/>
      <c r="F93" s="67" t="n"/>
      <c r="G93" s="67" t="n"/>
      <c r="H93" s="67" t="n"/>
      <c r="I93" s="7" t="n"/>
      <c r="J93" s="7" t="n"/>
      <c r="K93" s="7" t="n"/>
      <c r="L93" s="68">
        <f>IF(COUNT(C87:C93)&lt;4, "CHƯA ĐỦ DỮ LIỆU", AVERAGE(C87:C93))</f>
        <v/>
      </c>
      <c r="M93" s="69">
        <f>IF(OR(L93="CHƯA ĐỦ DỮ LIỆU", L86="CHƯA ĐỦ DỮ LIỆU"), "-", IF(AND(ISNUMBER(L93), ISNUMBER(L86)), L93-L86, "-"))</f>
        <v/>
      </c>
      <c r="N93" s="70">
        <f>IF(C93="", "", MAX(0, 55-C93))</f>
        <v/>
      </c>
      <c r="O93" s="70">
        <f>IF(C93="", "", MAX(0, 60-C93))</f>
        <v/>
      </c>
      <c r="P93" s="70">
        <f>IF(C93="", "", MAX(0, 65-C93))</f>
        <v/>
      </c>
      <c r="Q93" s="9">
        <f>IF(C93="", "", IF(C93&gt;50.3, "Đang tăng", IF(C93=50.3, "Baseline 19/10", "Đang giảm")))</f>
        <v/>
      </c>
      <c r="R93" s="58" t="n"/>
    </row>
    <row r="94" ht="22" customHeight="1">
      <c r="A94" s="61" t="n">
        <v>46404</v>
      </c>
      <c r="B94" s="9">
        <f>TEXT(A94, "dddd")</f>
        <v/>
      </c>
      <c r="C94" s="65" t="n"/>
      <c r="D94" s="67" t="n"/>
      <c r="E94" s="67" t="n"/>
      <c r="F94" s="67" t="n"/>
      <c r="G94" s="67" t="n"/>
      <c r="H94" s="67" t="n"/>
      <c r="I94" s="7" t="n"/>
      <c r="J94" s="7" t="n"/>
      <c r="K94" s="7" t="n"/>
      <c r="L94" s="68">
        <f>IF(COUNT(C88:C94)&lt;4, "CHƯA ĐỦ DỮ LIỆU", AVERAGE(C88:C94))</f>
        <v/>
      </c>
      <c r="M94" s="69">
        <f>IF(OR(L94="CHƯA ĐỦ DỮ LIỆU", L87="CHƯA ĐỦ DỮ LIỆU"), "-", IF(AND(ISNUMBER(L94), ISNUMBER(L87)), L94-L87, "-"))</f>
        <v/>
      </c>
      <c r="N94" s="70">
        <f>IF(C94="", "", MAX(0, 55-C94))</f>
        <v/>
      </c>
      <c r="O94" s="70">
        <f>IF(C94="", "", MAX(0, 60-C94))</f>
        <v/>
      </c>
      <c r="P94" s="70">
        <f>IF(C94="", "", MAX(0, 65-C94))</f>
        <v/>
      </c>
      <c r="Q94" s="9">
        <f>IF(C94="", "", IF(C94&gt;50.3, "Đang tăng", IF(C94=50.3, "Baseline 19/10", "Đang giảm")))</f>
        <v/>
      </c>
      <c r="R94" s="58" t="n"/>
    </row>
    <row r="95" ht="22" customHeight="1">
      <c r="A95" s="61" t="n">
        <v>46405</v>
      </c>
      <c r="B95" s="9">
        <f>TEXT(A95, "dddd")</f>
        <v/>
      </c>
      <c r="C95" s="65" t="n"/>
      <c r="D95" s="67" t="n"/>
      <c r="E95" s="67" t="n"/>
      <c r="F95" s="67" t="n"/>
      <c r="G95" s="67" t="n"/>
      <c r="H95" s="67" t="n"/>
      <c r="I95" s="7" t="n"/>
      <c r="J95" s="7" t="n"/>
      <c r="K95" s="7" t="n"/>
      <c r="L95" s="68">
        <f>IF(COUNT(C89:C95)&lt;4, "CHƯA ĐỦ DỮ LIỆU", AVERAGE(C89:C95))</f>
        <v/>
      </c>
      <c r="M95" s="69">
        <f>IF(OR(L95="CHƯA ĐỦ DỮ LIỆU", L88="CHƯA ĐỦ DỮ LIỆU"), "-", IF(AND(ISNUMBER(L95), ISNUMBER(L88)), L95-L88, "-"))</f>
        <v/>
      </c>
      <c r="N95" s="70">
        <f>IF(C95="", "", MAX(0, 55-C95))</f>
        <v/>
      </c>
      <c r="O95" s="70">
        <f>IF(C95="", "", MAX(0, 60-C95))</f>
        <v/>
      </c>
      <c r="P95" s="70">
        <f>IF(C95="", "", MAX(0, 65-C95))</f>
        <v/>
      </c>
      <c r="Q95" s="9">
        <f>IF(C95="", "", IF(C95&gt;50.3, "Đang tăng", IF(C95=50.3, "Baseline 19/10", "Đang giảm")))</f>
        <v/>
      </c>
      <c r="R95" s="58" t="n"/>
    </row>
    <row r="96" ht="22" customHeight="1">
      <c r="A96" s="61" t="n">
        <v>46406</v>
      </c>
      <c r="B96" s="9">
        <f>TEXT(A96, "dddd")</f>
        <v/>
      </c>
      <c r="C96" s="65" t="n"/>
      <c r="D96" s="67" t="n"/>
      <c r="E96" s="67" t="n"/>
      <c r="F96" s="67" t="n"/>
      <c r="G96" s="67" t="n"/>
      <c r="H96" s="67" t="n"/>
      <c r="I96" s="7" t="n"/>
      <c r="J96" s="7" t="n"/>
      <c r="K96" s="7" t="n"/>
      <c r="L96" s="68">
        <f>IF(COUNT(C90:C96)&lt;4, "CHƯA ĐỦ DỮ LIỆU", AVERAGE(C90:C96))</f>
        <v/>
      </c>
      <c r="M96" s="69">
        <f>IF(OR(L96="CHƯA ĐỦ DỮ LIỆU", L89="CHƯA ĐỦ DỮ LIỆU"), "-", IF(AND(ISNUMBER(L96), ISNUMBER(L89)), L96-L89, "-"))</f>
        <v/>
      </c>
      <c r="N96" s="70">
        <f>IF(C96="", "", MAX(0, 55-C96))</f>
        <v/>
      </c>
      <c r="O96" s="70">
        <f>IF(C96="", "", MAX(0, 60-C96))</f>
        <v/>
      </c>
      <c r="P96" s="70">
        <f>IF(C96="", "", MAX(0, 65-C96))</f>
        <v/>
      </c>
      <c r="Q96" s="9">
        <f>IF(C96="", "", IF(C96&gt;50.3, "Đang tăng", IF(C96=50.3, "Baseline 19/10", "Đang giảm")))</f>
        <v/>
      </c>
      <c r="R96" s="58" t="n"/>
    </row>
    <row r="97" ht="22" customHeight="1">
      <c r="A97" s="61" t="n">
        <v>46407</v>
      </c>
      <c r="B97" s="9">
        <f>TEXT(A97, "dddd")</f>
        <v/>
      </c>
      <c r="C97" s="65" t="n"/>
      <c r="D97" s="67" t="n"/>
      <c r="E97" s="67" t="n"/>
      <c r="F97" s="67" t="n"/>
      <c r="G97" s="67" t="n"/>
      <c r="H97" s="67" t="n"/>
      <c r="I97" s="7" t="n"/>
      <c r="J97" s="7" t="n"/>
      <c r="K97" s="7" t="n"/>
      <c r="L97" s="68">
        <f>IF(COUNT(C91:C97)&lt;4, "CHƯA ĐỦ DỮ LIỆU", AVERAGE(C91:C97))</f>
        <v/>
      </c>
      <c r="M97" s="69">
        <f>IF(OR(L97="CHƯA ĐỦ DỮ LIỆU", L90="CHƯA ĐỦ DỮ LIỆU"), "-", IF(AND(ISNUMBER(L97), ISNUMBER(L90)), L97-L90, "-"))</f>
        <v/>
      </c>
      <c r="N97" s="70">
        <f>IF(C97="", "", MAX(0, 55-C97))</f>
        <v/>
      </c>
      <c r="O97" s="70">
        <f>IF(C97="", "", MAX(0, 60-C97))</f>
        <v/>
      </c>
      <c r="P97" s="70">
        <f>IF(C97="", "", MAX(0, 65-C97))</f>
        <v/>
      </c>
      <c r="Q97" s="9">
        <f>IF(C97="", "", IF(C97&gt;50.3, "Đang tăng", IF(C97=50.3, "Baseline 19/10", "Đang giảm")))</f>
        <v/>
      </c>
      <c r="R97" s="58" t="n"/>
    </row>
    <row r="98" ht="22" customHeight="1">
      <c r="A98" s="61" t="n">
        <v>46408</v>
      </c>
      <c r="B98" s="9">
        <f>TEXT(A98, "dddd")</f>
        <v/>
      </c>
      <c r="C98" s="65" t="n"/>
      <c r="D98" s="67" t="n"/>
      <c r="E98" s="67" t="n"/>
      <c r="F98" s="67" t="n"/>
      <c r="G98" s="67" t="n"/>
      <c r="H98" s="67" t="n"/>
      <c r="I98" s="7" t="n"/>
      <c r="J98" s="7" t="n"/>
      <c r="K98" s="7" t="n"/>
      <c r="L98" s="68">
        <f>IF(COUNT(C92:C98)&lt;4, "CHƯA ĐỦ DỮ LIỆU", AVERAGE(C92:C98))</f>
        <v/>
      </c>
      <c r="M98" s="69">
        <f>IF(OR(L98="CHƯA ĐỦ DỮ LIỆU", L91="CHƯA ĐỦ DỮ LIỆU"), "-", IF(AND(ISNUMBER(L98), ISNUMBER(L91)), L98-L91, "-"))</f>
        <v/>
      </c>
      <c r="N98" s="70">
        <f>IF(C98="", "", MAX(0, 55-C98))</f>
        <v/>
      </c>
      <c r="O98" s="70">
        <f>IF(C98="", "", MAX(0, 60-C98))</f>
        <v/>
      </c>
      <c r="P98" s="70">
        <f>IF(C98="", "", MAX(0, 65-C98))</f>
        <v/>
      </c>
      <c r="Q98" s="9">
        <f>IF(C98="", "", IF(C98&gt;50.3, "Đang tăng", IF(C98=50.3, "Baseline 19/10", "Đang giảm")))</f>
        <v/>
      </c>
      <c r="R98" s="58" t="n"/>
    </row>
    <row r="99" ht="22" customHeight="1">
      <c r="A99" s="61" t="n">
        <v>46409</v>
      </c>
      <c r="B99" s="9">
        <f>TEXT(A99, "dddd")</f>
        <v/>
      </c>
      <c r="C99" s="65" t="n"/>
      <c r="D99" s="67" t="n"/>
      <c r="E99" s="67" t="n"/>
      <c r="F99" s="67" t="n"/>
      <c r="G99" s="67" t="n"/>
      <c r="H99" s="67" t="n"/>
      <c r="I99" s="7" t="n"/>
      <c r="J99" s="7" t="n"/>
      <c r="K99" s="7" t="n"/>
      <c r="L99" s="68">
        <f>IF(COUNT(C93:C99)&lt;4, "CHƯA ĐỦ DỮ LIỆU", AVERAGE(C93:C99))</f>
        <v/>
      </c>
      <c r="M99" s="69">
        <f>IF(OR(L99="CHƯA ĐỦ DỮ LIỆU", L92="CHƯA ĐỦ DỮ LIỆU"), "-", IF(AND(ISNUMBER(L99), ISNUMBER(L92)), L99-L92, "-"))</f>
        <v/>
      </c>
      <c r="N99" s="70">
        <f>IF(C99="", "", MAX(0, 55-C99))</f>
        <v/>
      </c>
      <c r="O99" s="70">
        <f>IF(C99="", "", MAX(0, 60-C99))</f>
        <v/>
      </c>
      <c r="P99" s="70">
        <f>IF(C99="", "", MAX(0, 65-C99))</f>
        <v/>
      </c>
      <c r="Q99" s="9">
        <f>IF(C99="", "", IF(C99&gt;50.3, "Đang tăng", IF(C99=50.3, "Baseline 19/10", "Đang giảm")))</f>
        <v/>
      </c>
      <c r="R99" s="58" t="n"/>
    </row>
    <row r="100" ht="22" customHeight="1">
      <c r="A100" s="61" t="n">
        <v>46410</v>
      </c>
      <c r="B100" s="9">
        <f>TEXT(A100, "dddd")</f>
        <v/>
      </c>
      <c r="C100" s="65" t="n"/>
      <c r="D100" s="67" t="n"/>
      <c r="E100" s="67" t="n"/>
      <c r="F100" s="67" t="n"/>
      <c r="G100" s="67" t="n"/>
      <c r="H100" s="67" t="n"/>
      <c r="I100" s="7" t="n"/>
      <c r="J100" s="7" t="n"/>
      <c r="K100" s="7" t="n"/>
      <c r="L100" s="68">
        <f>IF(COUNT(C94:C100)&lt;4, "CHƯA ĐỦ DỮ LIỆU", AVERAGE(C94:C100))</f>
        <v/>
      </c>
      <c r="M100" s="69">
        <f>IF(OR(L100="CHƯA ĐỦ DỮ LIỆU", L93="CHƯA ĐỦ DỮ LIỆU"), "-", IF(AND(ISNUMBER(L100), ISNUMBER(L93)), L100-L93, "-"))</f>
        <v/>
      </c>
      <c r="N100" s="70">
        <f>IF(C100="", "", MAX(0, 55-C100))</f>
        <v/>
      </c>
      <c r="O100" s="70">
        <f>IF(C100="", "", MAX(0, 60-C100))</f>
        <v/>
      </c>
      <c r="P100" s="70">
        <f>IF(C100="", "", MAX(0, 65-C100))</f>
        <v/>
      </c>
      <c r="Q100" s="9">
        <f>IF(C100="", "", IF(C100&gt;50.3, "Đang tăng", IF(C100=50.3, "Baseline 19/10", "Đang giảm")))</f>
        <v/>
      </c>
      <c r="R100" s="58" t="n"/>
    </row>
    <row r="101" ht="22" customHeight="1">
      <c r="A101" s="61" t="n">
        <v>46411</v>
      </c>
      <c r="B101" s="9">
        <f>TEXT(A101, "dddd")</f>
        <v/>
      </c>
      <c r="C101" s="65" t="n"/>
      <c r="D101" s="67" t="n"/>
      <c r="E101" s="67" t="n"/>
      <c r="F101" s="67" t="n"/>
      <c r="G101" s="67" t="n"/>
      <c r="H101" s="67" t="n"/>
      <c r="I101" s="7" t="n"/>
      <c r="J101" s="7" t="n"/>
      <c r="K101" s="7" t="n"/>
      <c r="L101" s="68">
        <f>IF(COUNT(C95:C101)&lt;4, "CHƯA ĐỦ DỮ LIỆU", AVERAGE(C95:C101))</f>
        <v/>
      </c>
      <c r="M101" s="69">
        <f>IF(OR(L101="CHƯA ĐỦ DỮ LIỆU", L94="CHƯA ĐỦ DỮ LIỆU"), "-", IF(AND(ISNUMBER(L101), ISNUMBER(L94)), L101-L94, "-"))</f>
        <v/>
      </c>
      <c r="N101" s="70">
        <f>IF(C101="", "", MAX(0, 55-C101))</f>
        <v/>
      </c>
      <c r="O101" s="70">
        <f>IF(C101="", "", MAX(0, 60-C101))</f>
        <v/>
      </c>
      <c r="P101" s="70">
        <f>IF(C101="", "", MAX(0, 65-C101))</f>
        <v/>
      </c>
      <c r="Q101" s="9">
        <f>IF(C101="", "", IF(C101&gt;50.3, "Đang tăng", IF(C101=50.3, "Baseline 19/10", "Đang giảm")))</f>
        <v/>
      </c>
      <c r="R101" s="58" t="n"/>
    </row>
    <row r="102" ht="22" customHeight="1">
      <c r="A102" s="61" t="n">
        <v>46412</v>
      </c>
      <c r="B102" s="9">
        <f>TEXT(A102, "dddd")</f>
        <v/>
      </c>
      <c r="C102" s="65" t="n"/>
      <c r="D102" s="67" t="n"/>
      <c r="E102" s="67" t="n"/>
      <c r="F102" s="67" t="n"/>
      <c r="G102" s="67" t="n"/>
      <c r="H102" s="67" t="n"/>
      <c r="I102" s="7" t="n"/>
      <c r="J102" s="7" t="n"/>
      <c r="K102" s="7" t="n"/>
      <c r="L102" s="68">
        <f>IF(COUNT(C96:C102)&lt;4, "CHƯA ĐỦ DỮ LIỆU", AVERAGE(C96:C102))</f>
        <v/>
      </c>
      <c r="M102" s="69">
        <f>IF(OR(L102="CHƯA ĐỦ DỮ LIỆU", L95="CHƯA ĐỦ DỮ LIỆU"), "-", IF(AND(ISNUMBER(L102), ISNUMBER(L95)), L102-L95, "-"))</f>
        <v/>
      </c>
      <c r="N102" s="70">
        <f>IF(C102="", "", MAX(0, 55-C102))</f>
        <v/>
      </c>
      <c r="O102" s="70">
        <f>IF(C102="", "", MAX(0, 60-C102))</f>
        <v/>
      </c>
      <c r="P102" s="70">
        <f>IF(C102="", "", MAX(0, 65-C102))</f>
        <v/>
      </c>
      <c r="Q102" s="9">
        <f>IF(C102="", "", IF(C102&gt;50.3, "Đang tăng", IF(C102=50.3, "Baseline 19/10", "Đang giảm")))</f>
        <v/>
      </c>
      <c r="R102" s="58" t="n"/>
    </row>
    <row r="103" ht="22" customHeight="1">
      <c r="A103" s="61" t="n">
        <v>46413</v>
      </c>
      <c r="B103" s="9">
        <f>TEXT(A103, "dddd")</f>
        <v/>
      </c>
      <c r="C103" s="65" t="n"/>
      <c r="D103" s="67" t="n"/>
      <c r="E103" s="67" t="n"/>
      <c r="F103" s="67" t="n"/>
      <c r="G103" s="67" t="n"/>
      <c r="H103" s="67" t="n"/>
      <c r="I103" s="7" t="n"/>
      <c r="J103" s="7" t="n"/>
      <c r="K103" s="7" t="n"/>
      <c r="L103" s="68">
        <f>IF(COUNT(C97:C103)&lt;4, "CHƯA ĐỦ DỮ LIỆU", AVERAGE(C97:C103))</f>
        <v/>
      </c>
      <c r="M103" s="69">
        <f>IF(OR(L103="CHƯA ĐỦ DỮ LIỆU", L96="CHƯA ĐỦ DỮ LIỆU"), "-", IF(AND(ISNUMBER(L103), ISNUMBER(L96)), L103-L96, "-"))</f>
        <v/>
      </c>
      <c r="N103" s="70">
        <f>IF(C103="", "", MAX(0, 55-C103))</f>
        <v/>
      </c>
      <c r="O103" s="70">
        <f>IF(C103="", "", MAX(0, 60-C103))</f>
        <v/>
      </c>
      <c r="P103" s="70">
        <f>IF(C103="", "", MAX(0, 65-C103))</f>
        <v/>
      </c>
      <c r="Q103" s="9">
        <f>IF(C103="", "", IF(C103&gt;50.3, "Đang tăng", IF(C103=50.3, "Baseline 19/10", "Đang giảm")))</f>
        <v/>
      </c>
      <c r="R103" s="58" t="n"/>
    </row>
    <row r="104" ht="22" customHeight="1">
      <c r="A104" s="61" t="n">
        <v>46414</v>
      </c>
      <c r="B104" s="9">
        <f>TEXT(A104, "dddd")</f>
        <v/>
      </c>
      <c r="C104" s="65" t="n"/>
      <c r="D104" s="67" t="n"/>
      <c r="E104" s="67" t="n"/>
      <c r="F104" s="67" t="n"/>
      <c r="G104" s="67" t="n"/>
      <c r="H104" s="67" t="n"/>
      <c r="I104" s="7" t="n"/>
      <c r="J104" s="7" t="n"/>
      <c r="K104" s="7" t="n"/>
      <c r="L104" s="68">
        <f>IF(COUNT(C98:C104)&lt;4, "CHƯA ĐỦ DỮ LIỆU", AVERAGE(C98:C104))</f>
        <v/>
      </c>
      <c r="M104" s="69">
        <f>IF(OR(L104="CHƯA ĐỦ DỮ LIỆU", L97="CHƯA ĐỦ DỮ LIỆU"), "-", IF(AND(ISNUMBER(L104), ISNUMBER(L97)), L104-L97, "-"))</f>
        <v/>
      </c>
      <c r="N104" s="70">
        <f>IF(C104="", "", MAX(0, 55-C104))</f>
        <v/>
      </c>
      <c r="O104" s="70">
        <f>IF(C104="", "", MAX(0, 60-C104))</f>
        <v/>
      </c>
      <c r="P104" s="70">
        <f>IF(C104="", "", MAX(0, 65-C104))</f>
        <v/>
      </c>
      <c r="Q104" s="9">
        <f>IF(C104="", "", IF(C104&gt;50.3, "Đang tăng", IF(C104=50.3, "Baseline 19/10", "Đang giảm")))</f>
        <v/>
      </c>
      <c r="R104" s="58" t="n"/>
    </row>
    <row r="105" ht="22" customHeight="1">
      <c r="A105" s="61" t="n">
        <v>46415</v>
      </c>
      <c r="B105" s="9">
        <f>TEXT(A105, "dddd")</f>
        <v/>
      </c>
      <c r="C105" s="65" t="n"/>
      <c r="D105" s="67" t="n"/>
      <c r="E105" s="67" t="n"/>
      <c r="F105" s="67" t="n"/>
      <c r="G105" s="67" t="n"/>
      <c r="H105" s="67" t="n"/>
      <c r="I105" s="7" t="n"/>
      <c r="J105" s="7" t="n"/>
      <c r="K105" s="7" t="n"/>
      <c r="L105" s="68">
        <f>IF(COUNT(C99:C105)&lt;4, "CHƯA ĐỦ DỮ LIỆU", AVERAGE(C99:C105))</f>
        <v/>
      </c>
      <c r="M105" s="69">
        <f>IF(OR(L105="CHƯA ĐỦ DỮ LIỆU", L98="CHƯA ĐỦ DỮ LIỆU"), "-", IF(AND(ISNUMBER(L105), ISNUMBER(L98)), L105-L98, "-"))</f>
        <v/>
      </c>
      <c r="N105" s="70">
        <f>IF(C105="", "", MAX(0, 55-C105))</f>
        <v/>
      </c>
      <c r="O105" s="70">
        <f>IF(C105="", "", MAX(0, 60-C105))</f>
        <v/>
      </c>
      <c r="P105" s="70">
        <f>IF(C105="", "", MAX(0, 65-C105))</f>
        <v/>
      </c>
      <c r="Q105" s="9">
        <f>IF(C105="", "", IF(C105&gt;50.3, "Đang tăng", IF(C105=50.3, "Baseline 19/10", "Đang giảm")))</f>
        <v/>
      </c>
      <c r="R105" s="58" t="n"/>
    </row>
    <row r="106" ht="22" customHeight="1">
      <c r="A106" s="61" t="n">
        <v>46416</v>
      </c>
      <c r="B106" s="9">
        <f>TEXT(A106, "dddd")</f>
        <v/>
      </c>
      <c r="C106" s="65" t="n"/>
      <c r="D106" s="67" t="n"/>
      <c r="E106" s="67" t="n"/>
      <c r="F106" s="67" t="n"/>
      <c r="G106" s="67" t="n"/>
      <c r="H106" s="67" t="n"/>
      <c r="I106" s="7" t="n"/>
      <c r="J106" s="7" t="n"/>
      <c r="K106" s="7" t="n"/>
      <c r="L106" s="68">
        <f>IF(COUNT(C100:C106)&lt;4, "CHƯA ĐỦ DỮ LIỆU", AVERAGE(C100:C106))</f>
        <v/>
      </c>
      <c r="M106" s="69">
        <f>IF(OR(L106="CHƯA ĐỦ DỮ LIỆU", L99="CHƯA ĐỦ DỮ LIỆU"), "-", IF(AND(ISNUMBER(L106), ISNUMBER(L99)), L106-L99, "-"))</f>
        <v/>
      </c>
      <c r="N106" s="70">
        <f>IF(C106="", "", MAX(0, 55-C106))</f>
        <v/>
      </c>
      <c r="O106" s="70">
        <f>IF(C106="", "", MAX(0, 60-C106))</f>
        <v/>
      </c>
      <c r="P106" s="70">
        <f>IF(C106="", "", MAX(0, 65-C106))</f>
        <v/>
      </c>
      <c r="Q106" s="9">
        <f>IF(C106="", "", IF(C106&gt;50.3, "Đang tăng", IF(C106=50.3, "Baseline 19/10", "Đang giảm")))</f>
        <v/>
      </c>
      <c r="R106" s="58" t="n"/>
    </row>
    <row r="107" ht="22" customHeight="1">
      <c r="A107" s="61" t="n">
        <v>46417</v>
      </c>
      <c r="B107" s="9">
        <f>TEXT(A107, "dddd")</f>
        <v/>
      </c>
      <c r="C107" s="65" t="n"/>
      <c r="D107" s="67" t="n"/>
      <c r="E107" s="67" t="n"/>
      <c r="F107" s="67" t="n"/>
      <c r="G107" s="67" t="n"/>
      <c r="H107" s="67" t="n"/>
      <c r="I107" s="7" t="n"/>
      <c r="J107" s="7" t="n"/>
      <c r="K107" s="7" t="n"/>
      <c r="L107" s="68">
        <f>IF(COUNT(C101:C107)&lt;4, "CHƯA ĐỦ DỮ LIỆU", AVERAGE(C101:C107))</f>
        <v/>
      </c>
      <c r="M107" s="69">
        <f>IF(OR(L107="CHƯA ĐỦ DỮ LIỆU", L100="CHƯA ĐỦ DỮ LIỆU"), "-", IF(AND(ISNUMBER(L107), ISNUMBER(L100)), L107-L100, "-"))</f>
        <v/>
      </c>
      <c r="N107" s="70">
        <f>IF(C107="", "", MAX(0, 55-C107))</f>
        <v/>
      </c>
      <c r="O107" s="70">
        <f>IF(C107="", "", MAX(0, 60-C107))</f>
        <v/>
      </c>
      <c r="P107" s="70">
        <f>IF(C107="", "", MAX(0, 65-C107))</f>
        <v/>
      </c>
      <c r="Q107" s="9">
        <f>IF(C107="", "", IF(C107&gt;50.3, "Đang tăng", IF(C107=50.3, "Baseline 19/10", "Đang giảm")))</f>
        <v/>
      </c>
      <c r="R107" s="58" t="n"/>
    </row>
    <row r="108" ht="22" customHeight="1">
      <c r="A108" s="61" t="n">
        <v>46418</v>
      </c>
      <c r="B108" s="9">
        <f>TEXT(A108, "dddd")</f>
        <v/>
      </c>
      <c r="C108" s="65" t="n"/>
      <c r="D108" s="67" t="n"/>
      <c r="E108" s="67" t="n"/>
      <c r="F108" s="67" t="n"/>
      <c r="G108" s="67" t="n"/>
      <c r="H108" s="67" t="n"/>
      <c r="I108" s="7" t="n"/>
      <c r="J108" s="7" t="n"/>
      <c r="K108" s="7" t="n"/>
      <c r="L108" s="68">
        <f>IF(COUNT(C102:C108)&lt;4, "CHƯA ĐỦ DỮ LIỆU", AVERAGE(C102:C108))</f>
        <v/>
      </c>
      <c r="M108" s="69">
        <f>IF(OR(L108="CHƯA ĐỦ DỮ LIỆU", L101="CHƯA ĐỦ DỮ LIỆU"), "-", IF(AND(ISNUMBER(L108), ISNUMBER(L101)), L108-L101, "-"))</f>
        <v/>
      </c>
      <c r="N108" s="70">
        <f>IF(C108="", "", MAX(0, 55-C108))</f>
        <v/>
      </c>
      <c r="O108" s="70">
        <f>IF(C108="", "", MAX(0, 60-C108))</f>
        <v/>
      </c>
      <c r="P108" s="70">
        <f>IF(C108="", "", MAX(0, 65-C108))</f>
        <v/>
      </c>
      <c r="Q108" s="9">
        <f>IF(C108="", "", IF(C108&gt;50.3, "Đang tăng", IF(C108=50.3, "Baseline 19/10", "Đang giảm")))</f>
        <v/>
      </c>
      <c r="R108" s="58" t="n"/>
    </row>
    <row r="109" ht="22" customHeight="1">
      <c r="A109" s="61" t="n">
        <v>46419</v>
      </c>
      <c r="B109" s="9">
        <f>TEXT(A109, "dddd")</f>
        <v/>
      </c>
      <c r="C109" s="65" t="n"/>
      <c r="D109" s="67" t="n"/>
      <c r="E109" s="67" t="n"/>
      <c r="F109" s="67" t="n"/>
      <c r="G109" s="67" t="n"/>
      <c r="H109" s="67" t="n"/>
      <c r="I109" s="7" t="n"/>
      <c r="J109" s="7" t="n"/>
      <c r="K109" s="7" t="n"/>
      <c r="L109" s="68">
        <f>IF(COUNT(C103:C109)&lt;4, "CHƯA ĐỦ DỮ LIỆU", AVERAGE(C103:C109))</f>
        <v/>
      </c>
      <c r="M109" s="69">
        <f>IF(OR(L109="CHƯA ĐỦ DỮ LIỆU", L102="CHƯA ĐỦ DỮ LIỆU"), "-", IF(AND(ISNUMBER(L109), ISNUMBER(L102)), L109-L102, "-"))</f>
        <v/>
      </c>
      <c r="N109" s="70">
        <f>IF(C109="", "", MAX(0, 55-C109))</f>
        <v/>
      </c>
      <c r="O109" s="70">
        <f>IF(C109="", "", MAX(0, 60-C109))</f>
        <v/>
      </c>
      <c r="P109" s="70">
        <f>IF(C109="", "", MAX(0, 65-C109))</f>
        <v/>
      </c>
      <c r="Q109" s="9">
        <f>IF(C109="", "", IF(C109&gt;50.3, "Đang tăng", IF(C109=50.3, "Baseline 19/10", "Đang giảm")))</f>
        <v/>
      </c>
      <c r="R109" s="58" t="n"/>
    </row>
    <row r="110" ht="22" customHeight="1">
      <c r="A110" s="61" t="n">
        <v>46420</v>
      </c>
      <c r="B110" s="9">
        <f>TEXT(A110, "dddd")</f>
        <v/>
      </c>
      <c r="C110" s="65" t="n"/>
      <c r="D110" s="67" t="n"/>
      <c r="E110" s="67" t="n"/>
      <c r="F110" s="67" t="n"/>
      <c r="G110" s="67" t="n"/>
      <c r="H110" s="67" t="n"/>
      <c r="I110" s="7" t="n"/>
      <c r="J110" s="7" t="n"/>
      <c r="K110" s="7" t="n"/>
      <c r="L110" s="68">
        <f>IF(COUNT(C104:C110)&lt;4, "CHƯA ĐỦ DỮ LIỆU", AVERAGE(C104:C110))</f>
        <v/>
      </c>
      <c r="M110" s="69">
        <f>IF(OR(L110="CHƯA ĐỦ DỮ LIỆU", L103="CHƯA ĐỦ DỮ LIỆU"), "-", IF(AND(ISNUMBER(L110), ISNUMBER(L103)), L110-L103, "-"))</f>
        <v/>
      </c>
      <c r="N110" s="70">
        <f>IF(C110="", "", MAX(0, 55-C110))</f>
        <v/>
      </c>
      <c r="O110" s="70">
        <f>IF(C110="", "", MAX(0, 60-C110))</f>
        <v/>
      </c>
      <c r="P110" s="70">
        <f>IF(C110="", "", MAX(0, 65-C110))</f>
        <v/>
      </c>
      <c r="Q110" s="9">
        <f>IF(C110="", "", IF(C110&gt;50.3, "Đang tăng", IF(C110=50.3, "Baseline 19/10", "Đang giảm")))</f>
        <v/>
      </c>
      <c r="R110" s="58" t="n"/>
    </row>
    <row r="111" ht="22" customHeight="1">
      <c r="A111" s="61" t="n">
        <v>46421</v>
      </c>
      <c r="B111" s="9">
        <f>TEXT(A111, "dddd")</f>
        <v/>
      </c>
      <c r="C111" s="65" t="n"/>
      <c r="D111" s="67" t="n"/>
      <c r="E111" s="67" t="n"/>
      <c r="F111" s="67" t="n"/>
      <c r="G111" s="67" t="n"/>
      <c r="H111" s="67" t="n"/>
      <c r="I111" s="7" t="n"/>
      <c r="J111" s="7" t="n"/>
      <c r="K111" s="7" t="n"/>
      <c r="L111" s="68">
        <f>IF(COUNT(C105:C111)&lt;4, "CHƯA ĐỦ DỮ LIỆU", AVERAGE(C105:C111))</f>
        <v/>
      </c>
      <c r="M111" s="69">
        <f>IF(OR(L111="CHƯA ĐỦ DỮ LIỆU", L104="CHƯA ĐỦ DỮ LIỆU"), "-", IF(AND(ISNUMBER(L111), ISNUMBER(L104)), L111-L104, "-"))</f>
        <v/>
      </c>
      <c r="N111" s="70">
        <f>IF(C111="", "", MAX(0, 55-C111))</f>
        <v/>
      </c>
      <c r="O111" s="70">
        <f>IF(C111="", "", MAX(0, 60-C111))</f>
        <v/>
      </c>
      <c r="P111" s="70">
        <f>IF(C111="", "", MAX(0, 65-C111))</f>
        <v/>
      </c>
      <c r="Q111" s="9">
        <f>IF(C111="", "", IF(C111&gt;50.3, "Đang tăng", IF(C111=50.3, "Baseline 19/10", "Đang giảm")))</f>
        <v/>
      </c>
      <c r="R111" s="58" t="n"/>
    </row>
    <row r="112" ht="22" customHeight="1">
      <c r="A112" s="61" t="n">
        <v>46422</v>
      </c>
      <c r="B112" s="9">
        <f>TEXT(A112, "dddd")</f>
        <v/>
      </c>
      <c r="C112" s="65" t="n"/>
      <c r="D112" s="67" t="n"/>
      <c r="E112" s="67" t="n"/>
      <c r="F112" s="67" t="n"/>
      <c r="G112" s="67" t="n"/>
      <c r="H112" s="67" t="n"/>
      <c r="I112" s="7" t="n"/>
      <c r="J112" s="7" t="n"/>
      <c r="K112" s="7" t="n"/>
      <c r="L112" s="68">
        <f>IF(COUNT(C106:C112)&lt;4, "CHƯA ĐỦ DỮ LIỆU", AVERAGE(C106:C112))</f>
        <v/>
      </c>
      <c r="M112" s="69">
        <f>IF(OR(L112="CHƯA ĐỦ DỮ LIỆU", L105="CHƯA ĐỦ DỮ LIỆU"), "-", IF(AND(ISNUMBER(L112), ISNUMBER(L105)), L112-L105, "-"))</f>
        <v/>
      </c>
      <c r="N112" s="70">
        <f>IF(C112="", "", MAX(0, 55-C112))</f>
        <v/>
      </c>
      <c r="O112" s="70">
        <f>IF(C112="", "", MAX(0, 60-C112))</f>
        <v/>
      </c>
      <c r="P112" s="70">
        <f>IF(C112="", "", MAX(0, 65-C112))</f>
        <v/>
      </c>
      <c r="Q112" s="9">
        <f>IF(C112="", "", IF(C112&gt;50.3, "Đang tăng", IF(C112=50.3, "Baseline 19/10", "Đang giảm")))</f>
        <v/>
      </c>
      <c r="R112" s="58" t="n"/>
    </row>
    <row r="113" ht="22" customHeight="1">
      <c r="A113" s="61" t="n">
        <v>46423</v>
      </c>
      <c r="B113" s="9">
        <f>TEXT(A113, "dddd")</f>
        <v/>
      </c>
      <c r="C113" s="65" t="n"/>
      <c r="D113" s="67" t="n"/>
      <c r="E113" s="67" t="n"/>
      <c r="F113" s="67" t="n"/>
      <c r="G113" s="67" t="n"/>
      <c r="H113" s="67" t="n"/>
      <c r="I113" s="7" t="n"/>
      <c r="J113" s="7" t="n"/>
      <c r="K113" s="7" t="n"/>
      <c r="L113" s="68">
        <f>IF(COUNT(C107:C113)&lt;4, "CHƯA ĐỦ DỮ LIỆU", AVERAGE(C107:C113))</f>
        <v/>
      </c>
      <c r="M113" s="69">
        <f>IF(OR(L113="CHƯA ĐỦ DỮ LIỆU", L106="CHƯA ĐỦ DỮ LIỆU"), "-", IF(AND(ISNUMBER(L113), ISNUMBER(L106)), L113-L106, "-"))</f>
        <v/>
      </c>
      <c r="N113" s="70">
        <f>IF(C113="", "", MAX(0, 55-C113))</f>
        <v/>
      </c>
      <c r="O113" s="70">
        <f>IF(C113="", "", MAX(0, 60-C113))</f>
        <v/>
      </c>
      <c r="P113" s="70">
        <f>IF(C113="", "", MAX(0, 65-C113))</f>
        <v/>
      </c>
      <c r="Q113" s="9">
        <f>IF(C113="", "", IF(C113&gt;50.3, "Đang tăng", IF(C113=50.3, "Baseline 19/10", "Đang giảm")))</f>
        <v/>
      </c>
      <c r="R113" s="58" t="n"/>
    </row>
    <row r="114" ht="22" customHeight="1">
      <c r="A114" s="61" t="n">
        <v>46424</v>
      </c>
      <c r="B114" s="9">
        <f>TEXT(A114, "dddd")</f>
        <v/>
      </c>
      <c r="C114" s="65" t="n"/>
      <c r="D114" s="67" t="n"/>
      <c r="E114" s="67" t="n"/>
      <c r="F114" s="67" t="n"/>
      <c r="G114" s="67" t="n"/>
      <c r="H114" s="67" t="n"/>
      <c r="I114" s="7" t="n"/>
      <c r="J114" s="7" t="n"/>
      <c r="K114" s="7" t="n"/>
      <c r="L114" s="68">
        <f>IF(COUNT(C108:C114)&lt;4, "CHƯA ĐỦ DỮ LIỆU", AVERAGE(C108:C114))</f>
        <v/>
      </c>
      <c r="M114" s="69">
        <f>IF(OR(L114="CHƯA ĐỦ DỮ LIỆU", L107="CHƯA ĐỦ DỮ LIỆU"), "-", IF(AND(ISNUMBER(L114), ISNUMBER(L107)), L114-L107, "-"))</f>
        <v/>
      </c>
      <c r="N114" s="70">
        <f>IF(C114="", "", MAX(0, 55-C114))</f>
        <v/>
      </c>
      <c r="O114" s="70">
        <f>IF(C114="", "", MAX(0, 60-C114))</f>
        <v/>
      </c>
      <c r="P114" s="70">
        <f>IF(C114="", "", MAX(0, 65-C114))</f>
        <v/>
      </c>
      <c r="Q114" s="9">
        <f>IF(C114="", "", IF(C114&gt;50.3, "Đang tăng", IF(C114=50.3, "Baseline 19/10", "Đang giảm")))</f>
        <v/>
      </c>
      <c r="R114" s="58" t="n"/>
    </row>
    <row r="115" ht="22" customHeight="1">
      <c r="A115" s="61" t="n">
        <v>46425</v>
      </c>
      <c r="B115" s="9">
        <f>TEXT(A115, "dddd")</f>
        <v/>
      </c>
      <c r="C115" s="65" t="n"/>
      <c r="D115" s="67" t="n"/>
      <c r="E115" s="67" t="n"/>
      <c r="F115" s="67" t="n"/>
      <c r="G115" s="67" t="n"/>
      <c r="H115" s="67" t="n"/>
      <c r="I115" s="7" t="n"/>
      <c r="J115" s="7" t="n"/>
      <c r="K115" s="7" t="n"/>
      <c r="L115" s="68">
        <f>IF(COUNT(C109:C115)&lt;4, "CHƯA ĐỦ DỮ LIỆU", AVERAGE(C109:C115))</f>
        <v/>
      </c>
      <c r="M115" s="69">
        <f>IF(OR(L115="CHƯA ĐỦ DỮ LIỆU", L108="CHƯA ĐỦ DỮ LIỆU"), "-", IF(AND(ISNUMBER(L115), ISNUMBER(L108)), L115-L108, "-"))</f>
        <v/>
      </c>
      <c r="N115" s="70">
        <f>IF(C115="", "", MAX(0, 55-C115))</f>
        <v/>
      </c>
      <c r="O115" s="70">
        <f>IF(C115="", "", MAX(0, 60-C115))</f>
        <v/>
      </c>
      <c r="P115" s="70">
        <f>IF(C115="", "", MAX(0, 65-C115))</f>
        <v/>
      </c>
      <c r="Q115" s="9">
        <f>IF(C115="", "", IF(C115&gt;50.3, "Đang tăng", IF(C115=50.3, "Baseline 19/10", "Đang giảm")))</f>
        <v/>
      </c>
      <c r="R115" s="58" t="n"/>
    </row>
    <row r="116" ht="22" customHeight="1">
      <c r="A116" s="61" t="n">
        <v>46426</v>
      </c>
      <c r="B116" s="9">
        <f>TEXT(A116, "dddd")</f>
        <v/>
      </c>
      <c r="C116" s="65" t="n"/>
      <c r="D116" s="67" t="n"/>
      <c r="E116" s="67" t="n"/>
      <c r="F116" s="67" t="n"/>
      <c r="G116" s="67" t="n"/>
      <c r="H116" s="67" t="n"/>
      <c r="I116" s="7" t="n"/>
      <c r="J116" s="7" t="n"/>
      <c r="K116" s="7" t="n"/>
      <c r="L116" s="68">
        <f>IF(COUNT(C110:C116)&lt;4, "CHƯA ĐỦ DỮ LIỆU", AVERAGE(C110:C116))</f>
        <v/>
      </c>
      <c r="M116" s="69">
        <f>IF(OR(L116="CHƯA ĐỦ DỮ LIỆU", L109="CHƯA ĐỦ DỮ LIỆU"), "-", IF(AND(ISNUMBER(L116), ISNUMBER(L109)), L116-L109, "-"))</f>
        <v/>
      </c>
      <c r="N116" s="70">
        <f>IF(C116="", "", MAX(0, 55-C116))</f>
        <v/>
      </c>
      <c r="O116" s="70">
        <f>IF(C116="", "", MAX(0, 60-C116))</f>
        <v/>
      </c>
      <c r="P116" s="70">
        <f>IF(C116="", "", MAX(0, 65-C116))</f>
        <v/>
      </c>
      <c r="Q116" s="9">
        <f>IF(C116="", "", IF(C116&gt;50.3, "Đang tăng", IF(C116=50.3, "Baseline 19/10", "Đang giảm")))</f>
        <v/>
      </c>
      <c r="R116" s="58" t="n"/>
    </row>
    <row r="117" ht="22" customHeight="1">
      <c r="A117" s="61" t="n">
        <v>46427</v>
      </c>
      <c r="B117" s="9">
        <f>TEXT(A117, "dddd")</f>
        <v/>
      </c>
      <c r="C117" s="65" t="n"/>
      <c r="D117" s="67" t="n"/>
      <c r="E117" s="67" t="n"/>
      <c r="F117" s="67" t="n"/>
      <c r="G117" s="67" t="n"/>
      <c r="H117" s="67" t="n"/>
      <c r="I117" s="7" t="n"/>
      <c r="J117" s="7" t="n"/>
      <c r="K117" s="7" t="n"/>
      <c r="L117" s="68">
        <f>IF(COUNT(C111:C117)&lt;4, "CHƯA ĐỦ DỮ LIỆU", AVERAGE(C111:C117))</f>
        <v/>
      </c>
      <c r="M117" s="69">
        <f>IF(OR(L117="CHƯA ĐỦ DỮ LIỆU", L110="CHƯA ĐỦ DỮ LIỆU"), "-", IF(AND(ISNUMBER(L117), ISNUMBER(L110)), L117-L110, "-"))</f>
        <v/>
      </c>
      <c r="N117" s="70">
        <f>IF(C117="", "", MAX(0, 55-C117))</f>
        <v/>
      </c>
      <c r="O117" s="70">
        <f>IF(C117="", "", MAX(0, 60-C117))</f>
        <v/>
      </c>
      <c r="P117" s="70">
        <f>IF(C117="", "", MAX(0, 65-C117))</f>
        <v/>
      </c>
      <c r="Q117" s="9">
        <f>IF(C117="", "", IF(C117&gt;50.3, "Đang tăng", IF(C117=50.3, "Baseline 19/10", "Đang giảm")))</f>
        <v/>
      </c>
      <c r="R117" s="58" t="n"/>
    </row>
    <row r="118" ht="22" customHeight="1">
      <c r="A118" s="61" t="n">
        <v>46428</v>
      </c>
      <c r="B118" s="9">
        <f>TEXT(A118, "dddd")</f>
        <v/>
      </c>
      <c r="C118" s="65" t="n"/>
      <c r="D118" s="67" t="n"/>
      <c r="E118" s="67" t="n"/>
      <c r="F118" s="67" t="n"/>
      <c r="G118" s="67" t="n"/>
      <c r="H118" s="67" t="n"/>
      <c r="I118" s="7" t="n"/>
      <c r="J118" s="7" t="n"/>
      <c r="K118" s="7" t="n"/>
      <c r="L118" s="68">
        <f>IF(COUNT(C112:C118)&lt;4, "CHƯA ĐỦ DỮ LIỆU", AVERAGE(C112:C118))</f>
        <v/>
      </c>
      <c r="M118" s="69">
        <f>IF(OR(L118="CHƯA ĐỦ DỮ LIỆU", L111="CHƯA ĐỦ DỮ LIỆU"), "-", IF(AND(ISNUMBER(L118), ISNUMBER(L111)), L118-L111, "-"))</f>
        <v/>
      </c>
      <c r="N118" s="70">
        <f>IF(C118="", "", MAX(0, 55-C118))</f>
        <v/>
      </c>
      <c r="O118" s="70">
        <f>IF(C118="", "", MAX(0, 60-C118))</f>
        <v/>
      </c>
      <c r="P118" s="70">
        <f>IF(C118="", "", MAX(0, 65-C118))</f>
        <v/>
      </c>
      <c r="Q118" s="9">
        <f>IF(C118="", "", IF(C118&gt;50.3, "Đang tăng", IF(C118=50.3, "Baseline 19/10", "Đang giảm")))</f>
        <v/>
      </c>
      <c r="R118" s="58" t="n"/>
    </row>
    <row r="119" ht="22" customHeight="1">
      <c r="A119" s="61" t="n">
        <v>46429</v>
      </c>
      <c r="B119" s="9">
        <f>TEXT(A119, "dddd")</f>
        <v/>
      </c>
      <c r="C119" s="65" t="n"/>
      <c r="D119" s="67" t="n"/>
      <c r="E119" s="67" t="n"/>
      <c r="F119" s="67" t="n"/>
      <c r="G119" s="67" t="n"/>
      <c r="H119" s="67" t="n"/>
      <c r="I119" s="7" t="n"/>
      <c r="J119" s="7" t="n"/>
      <c r="K119" s="7" t="n"/>
      <c r="L119" s="68">
        <f>IF(COUNT(C113:C119)&lt;4, "CHƯA ĐỦ DỮ LIỆU", AVERAGE(C113:C119))</f>
        <v/>
      </c>
      <c r="M119" s="69">
        <f>IF(OR(L119="CHƯA ĐỦ DỮ LIỆU", L112="CHƯA ĐỦ DỮ LIỆU"), "-", IF(AND(ISNUMBER(L119), ISNUMBER(L112)), L119-L112, "-"))</f>
        <v/>
      </c>
      <c r="N119" s="70">
        <f>IF(C119="", "", MAX(0, 55-C119))</f>
        <v/>
      </c>
      <c r="O119" s="70">
        <f>IF(C119="", "", MAX(0, 60-C119))</f>
        <v/>
      </c>
      <c r="P119" s="70">
        <f>IF(C119="", "", MAX(0, 65-C119))</f>
        <v/>
      </c>
      <c r="Q119" s="9">
        <f>IF(C119="", "", IF(C119&gt;50.3, "Đang tăng", IF(C119=50.3, "Baseline 19/10", "Đang giảm")))</f>
        <v/>
      </c>
      <c r="R119" s="58" t="n"/>
    </row>
    <row r="120" ht="22" customHeight="1">
      <c r="A120" s="61" t="n">
        <v>46430</v>
      </c>
      <c r="B120" s="9">
        <f>TEXT(A120, "dddd")</f>
        <v/>
      </c>
      <c r="C120" s="65" t="n"/>
      <c r="D120" s="67" t="n"/>
      <c r="E120" s="67" t="n"/>
      <c r="F120" s="67" t="n"/>
      <c r="G120" s="67" t="n"/>
      <c r="H120" s="67" t="n"/>
      <c r="I120" s="7" t="n"/>
      <c r="J120" s="7" t="n"/>
      <c r="K120" s="7" t="n"/>
      <c r="L120" s="68">
        <f>IF(COUNT(C114:C120)&lt;4, "CHƯA ĐỦ DỮ LIỆU", AVERAGE(C114:C120))</f>
        <v/>
      </c>
      <c r="M120" s="69">
        <f>IF(OR(L120="CHƯA ĐỦ DỮ LIỆU", L113="CHƯA ĐỦ DỮ LIỆU"), "-", IF(AND(ISNUMBER(L120), ISNUMBER(L113)), L120-L113, "-"))</f>
        <v/>
      </c>
      <c r="N120" s="70">
        <f>IF(C120="", "", MAX(0, 55-C120))</f>
        <v/>
      </c>
      <c r="O120" s="70">
        <f>IF(C120="", "", MAX(0, 60-C120))</f>
        <v/>
      </c>
      <c r="P120" s="70">
        <f>IF(C120="", "", MAX(0, 65-C120))</f>
        <v/>
      </c>
      <c r="Q120" s="9">
        <f>IF(C120="", "", IF(C120&gt;50.3, "Đang tăng", IF(C120=50.3, "Baseline 19/10", "Đang giảm")))</f>
        <v/>
      </c>
      <c r="R120" s="58" t="n"/>
    </row>
    <row r="121" ht="22" customHeight="1">
      <c r="A121" s="61" t="n">
        <v>46431</v>
      </c>
      <c r="B121" s="9">
        <f>TEXT(A121, "dddd")</f>
        <v/>
      </c>
      <c r="C121" s="65" t="n"/>
      <c r="D121" s="67" t="n"/>
      <c r="E121" s="67" t="n"/>
      <c r="F121" s="67" t="n"/>
      <c r="G121" s="67" t="n"/>
      <c r="H121" s="67" t="n"/>
      <c r="I121" s="7" t="n"/>
      <c r="J121" s="7" t="n"/>
      <c r="K121" s="7" t="n"/>
      <c r="L121" s="68">
        <f>IF(COUNT(C115:C121)&lt;4, "CHƯA ĐỦ DỮ LIỆU", AVERAGE(C115:C121))</f>
        <v/>
      </c>
      <c r="M121" s="69">
        <f>IF(OR(L121="CHƯA ĐỦ DỮ LIỆU", L114="CHƯA ĐỦ DỮ LIỆU"), "-", IF(AND(ISNUMBER(L121), ISNUMBER(L114)), L121-L114, "-"))</f>
        <v/>
      </c>
      <c r="N121" s="70">
        <f>IF(C121="", "", MAX(0, 55-C121))</f>
        <v/>
      </c>
      <c r="O121" s="70">
        <f>IF(C121="", "", MAX(0, 60-C121))</f>
        <v/>
      </c>
      <c r="P121" s="70">
        <f>IF(C121="", "", MAX(0, 65-C121))</f>
        <v/>
      </c>
      <c r="Q121" s="9">
        <f>IF(C121="", "", IF(C121&gt;50.3, "Đang tăng", IF(C121=50.3, "Baseline 19/10", "Đang giảm")))</f>
        <v/>
      </c>
      <c r="R121" s="58" t="n"/>
    </row>
    <row r="122" ht="22" customHeight="1">
      <c r="A122" s="61" t="n">
        <v>46432</v>
      </c>
      <c r="B122" s="9">
        <f>TEXT(A122, "dddd")</f>
        <v/>
      </c>
      <c r="C122" s="65" t="n"/>
      <c r="D122" s="67" t="n"/>
      <c r="E122" s="67" t="n"/>
      <c r="F122" s="67" t="n"/>
      <c r="G122" s="67" t="n"/>
      <c r="H122" s="67" t="n"/>
      <c r="I122" s="7" t="n"/>
      <c r="J122" s="7" t="n"/>
      <c r="K122" s="7" t="n"/>
      <c r="L122" s="68">
        <f>IF(COUNT(C116:C122)&lt;4, "CHƯA ĐỦ DỮ LIỆU", AVERAGE(C116:C122))</f>
        <v/>
      </c>
      <c r="M122" s="69">
        <f>IF(OR(L122="CHƯA ĐỦ DỮ LIỆU", L115="CHƯA ĐỦ DỮ LIỆU"), "-", IF(AND(ISNUMBER(L122), ISNUMBER(L115)), L122-L115, "-"))</f>
        <v/>
      </c>
      <c r="N122" s="70">
        <f>IF(C122="", "", MAX(0, 55-C122))</f>
        <v/>
      </c>
      <c r="O122" s="70">
        <f>IF(C122="", "", MAX(0, 60-C122))</f>
        <v/>
      </c>
      <c r="P122" s="70">
        <f>IF(C122="", "", MAX(0, 65-C122))</f>
        <v/>
      </c>
      <c r="Q122" s="9">
        <f>IF(C122="", "", IF(C122&gt;50.3, "Đang tăng", IF(C122=50.3, "Baseline 19/10", "Đang giảm")))</f>
        <v/>
      </c>
      <c r="R122" s="58" t="n"/>
    </row>
    <row r="123" ht="22" customHeight="1">
      <c r="A123" s="61" t="n">
        <v>46433</v>
      </c>
      <c r="B123" s="9">
        <f>TEXT(A123, "dddd")</f>
        <v/>
      </c>
      <c r="C123" s="65" t="n"/>
      <c r="D123" s="67" t="n"/>
      <c r="E123" s="67" t="n"/>
      <c r="F123" s="67" t="n"/>
      <c r="G123" s="67" t="n"/>
      <c r="H123" s="67" t="n"/>
      <c r="I123" s="7" t="n"/>
      <c r="J123" s="7" t="n"/>
      <c r="K123" s="7" t="n"/>
      <c r="L123" s="68">
        <f>IF(COUNT(C117:C123)&lt;4, "CHƯA ĐỦ DỮ LIỆU", AVERAGE(C117:C123))</f>
        <v/>
      </c>
      <c r="M123" s="69">
        <f>IF(OR(L123="CHƯA ĐỦ DỮ LIỆU", L116="CHƯA ĐỦ DỮ LIỆU"), "-", IF(AND(ISNUMBER(L123), ISNUMBER(L116)), L123-L116, "-"))</f>
        <v/>
      </c>
      <c r="N123" s="70">
        <f>IF(C123="", "", MAX(0, 55-C123))</f>
        <v/>
      </c>
      <c r="O123" s="70">
        <f>IF(C123="", "", MAX(0, 60-C123))</f>
        <v/>
      </c>
      <c r="P123" s="70">
        <f>IF(C123="", "", MAX(0, 65-C123))</f>
        <v/>
      </c>
      <c r="Q123" s="9">
        <f>IF(C123="", "", IF(C123&gt;50.3, "Đang tăng", IF(C123=50.3, "Baseline 19/10", "Đang giảm")))</f>
        <v/>
      </c>
      <c r="R123" s="58" t="n"/>
    </row>
    <row r="124" ht="22" customHeight="1">
      <c r="A124" s="61" t="n">
        <v>46434</v>
      </c>
      <c r="B124" s="9">
        <f>TEXT(A124, "dddd")</f>
        <v/>
      </c>
      <c r="C124" s="65" t="n"/>
      <c r="D124" s="67" t="n"/>
      <c r="E124" s="67" t="n"/>
      <c r="F124" s="67" t="n"/>
      <c r="G124" s="67" t="n"/>
      <c r="H124" s="67" t="n"/>
      <c r="I124" s="7" t="n"/>
      <c r="J124" s="7" t="n"/>
      <c r="K124" s="7" t="n"/>
      <c r="L124" s="68">
        <f>IF(COUNT(C118:C124)&lt;4, "CHƯA ĐỦ DỮ LIỆU", AVERAGE(C118:C124))</f>
        <v/>
      </c>
      <c r="M124" s="69">
        <f>IF(OR(L124="CHƯA ĐỦ DỮ LIỆU", L117="CHƯA ĐỦ DỮ LIỆU"), "-", IF(AND(ISNUMBER(L124), ISNUMBER(L117)), L124-L117, "-"))</f>
        <v/>
      </c>
      <c r="N124" s="70">
        <f>IF(C124="", "", MAX(0, 55-C124))</f>
        <v/>
      </c>
      <c r="O124" s="70">
        <f>IF(C124="", "", MAX(0, 60-C124))</f>
        <v/>
      </c>
      <c r="P124" s="70">
        <f>IF(C124="", "", MAX(0, 65-C124))</f>
        <v/>
      </c>
      <c r="Q124" s="9">
        <f>IF(C124="", "", IF(C124&gt;50.3, "Đang tăng", IF(C124=50.3, "Baseline 19/10", "Đang giảm")))</f>
        <v/>
      </c>
      <c r="R124" s="58" t="n"/>
    </row>
    <row r="125" ht="22" customHeight="1">
      <c r="A125" s="61" t="n">
        <v>46435</v>
      </c>
      <c r="B125" s="9">
        <f>TEXT(A125, "dddd")</f>
        <v/>
      </c>
      <c r="C125" s="65" t="n"/>
      <c r="D125" s="67" t="n"/>
      <c r="E125" s="67" t="n"/>
      <c r="F125" s="67" t="n"/>
      <c r="G125" s="67" t="n"/>
      <c r="H125" s="67" t="n"/>
      <c r="I125" s="7" t="n"/>
      <c r="J125" s="7" t="n"/>
      <c r="K125" s="7" t="n"/>
      <c r="L125" s="68">
        <f>IF(COUNT(C119:C125)&lt;4, "CHƯA ĐỦ DỮ LIỆU", AVERAGE(C119:C125))</f>
        <v/>
      </c>
      <c r="M125" s="69">
        <f>IF(OR(L125="CHƯA ĐỦ DỮ LIỆU", L118="CHƯA ĐỦ DỮ LIỆU"), "-", IF(AND(ISNUMBER(L125), ISNUMBER(L118)), L125-L118, "-"))</f>
        <v/>
      </c>
      <c r="N125" s="70">
        <f>IF(C125="", "", MAX(0, 55-C125))</f>
        <v/>
      </c>
      <c r="O125" s="70">
        <f>IF(C125="", "", MAX(0, 60-C125))</f>
        <v/>
      </c>
      <c r="P125" s="70">
        <f>IF(C125="", "", MAX(0, 65-C125))</f>
        <v/>
      </c>
      <c r="Q125" s="9">
        <f>IF(C125="", "", IF(C125&gt;50.3, "Đang tăng", IF(C125=50.3, "Baseline 19/10", "Đang giảm")))</f>
        <v/>
      </c>
      <c r="R125" s="58" t="n"/>
    </row>
    <row r="126" ht="22" customHeight="1">
      <c r="A126" s="61" t="n">
        <v>46436</v>
      </c>
      <c r="B126" s="9">
        <f>TEXT(A126, "dddd")</f>
        <v/>
      </c>
      <c r="C126" s="65" t="n"/>
      <c r="D126" s="67" t="n"/>
      <c r="E126" s="67" t="n"/>
      <c r="F126" s="67" t="n"/>
      <c r="G126" s="67" t="n"/>
      <c r="H126" s="67" t="n"/>
      <c r="I126" s="7" t="n"/>
      <c r="J126" s="7" t="n"/>
      <c r="K126" s="7" t="n"/>
      <c r="L126" s="68">
        <f>IF(COUNT(C120:C126)&lt;4, "CHƯA ĐỦ DỮ LIỆU", AVERAGE(C120:C126))</f>
        <v/>
      </c>
      <c r="M126" s="69">
        <f>IF(OR(L126="CHƯA ĐỦ DỮ LIỆU", L119="CHƯA ĐỦ DỮ LIỆU"), "-", IF(AND(ISNUMBER(L126), ISNUMBER(L119)), L126-L119, "-"))</f>
        <v/>
      </c>
      <c r="N126" s="70">
        <f>IF(C126="", "", MAX(0, 55-C126))</f>
        <v/>
      </c>
      <c r="O126" s="70">
        <f>IF(C126="", "", MAX(0, 60-C126))</f>
        <v/>
      </c>
      <c r="P126" s="70">
        <f>IF(C126="", "", MAX(0, 65-C126))</f>
        <v/>
      </c>
      <c r="Q126" s="9">
        <f>IF(C126="", "", IF(C126&gt;50.3, "Đang tăng", IF(C126=50.3, "Baseline 19/10", "Đang giảm")))</f>
        <v/>
      </c>
      <c r="R126" s="58" t="n"/>
    </row>
    <row r="127" ht="22" customHeight="1">
      <c r="A127" s="61" t="n">
        <v>46437</v>
      </c>
      <c r="B127" s="9">
        <f>TEXT(A127, "dddd")</f>
        <v/>
      </c>
      <c r="C127" s="65" t="n"/>
      <c r="D127" s="67" t="n"/>
      <c r="E127" s="67" t="n"/>
      <c r="F127" s="67" t="n"/>
      <c r="G127" s="67" t="n"/>
      <c r="H127" s="67" t="n"/>
      <c r="I127" s="7" t="n"/>
      <c r="J127" s="7" t="n"/>
      <c r="K127" s="7" t="n"/>
      <c r="L127" s="68">
        <f>IF(COUNT(C121:C127)&lt;4, "CHƯA ĐỦ DỮ LIỆU", AVERAGE(C121:C127))</f>
        <v/>
      </c>
      <c r="M127" s="69">
        <f>IF(OR(L127="CHƯA ĐỦ DỮ LIỆU", L120="CHƯA ĐỦ DỮ LIỆU"), "-", IF(AND(ISNUMBER(L127), ISNUMBER(L120)), L127-L120, "-"))</f>
        <v/>
      </c>
      <c r="N127" s="70">
        <f>IF(C127="", "", MAX(0, 55-C127))</f>
        <v/>
      </c>
      <c r="O127" s="70">
        <f>IF(C127="", "", MAX(0, 60-C127))</f>
        <v/>
      </c>
      <c r="P127" s="70">
        <f>IF(C127="", "", MAX(0, 65-C127))</f>
        <v/>
      </c>
      <c r="Q127" s="9">
        <f>IF(C127="", "", IF(C127&gt;50.3, "Đang tăng", IF(C127=50.3, "Baseline 19/10", "Đang giảm")))</f>
        <v/>
      </c>
      <c r="R127" s="58" t="n"/>
    </row>
    <row r="128" ht="22" customHeight="1">
      <c r="A128" s="61" t="n">
        <v>46438</v>
      </c>
      <c r="B128" s="9">
        <f>TEXT(A128, "dddd")</f>
        <v/>
      </c>
      <c r="C128" s="65" t="n"/>
      <c r="D128" s="67" t="n"/>
      <c r="E128" s="67" t="n"/>
      <c r="F128" s="67" t="n"/>
      <c r="G128" s="67" t="n"/>
      <c r="H128" s="67" t="n"/>
      <c r="I128" s="7" t="n"/>
      <c r="J128" s="7" t="n"/>
      <c r="K128" s="7" t="n"/>
      <c r="L128" s="68">
        <f>IF(COUNT(C122:C128)&lt;4, "CHƯA ĐỦ DỮ LIỆU", AVERAGE(C122:C128))</f>
        <v/>
      </c>
      <c r="M128" s="69">
        <f>IF(OR(L128="CHƯA ĐỦ DỮ LIỆU", L121="CHƯA ĐỦ DỮ LIỆU"), "-", IF(AND(ISNUMBER(L128), ISNUMBER(L121)), L128-L121, "-"))</f>
        <v/>
      </c>
      <c r="N128" s="70">
        <f>IF(C128="", "", MAX(0, 55-C128))</f>
        <v/>
      </c>
      <c r="O128" s="70">
        <f>IF(C128="", "", MAX(0, 60-C128))</f>
        <v/>
      </c>
      <c r="P128" s="70">
        <f>IF(C128="", "", MAX(0, 65-C128))</f>
        <v/>
      </c>
      <c r="Q128" s="9">
        <f>IF(C128="", "", IF(C128&gt;50.3, "Đang tăng", IF(C128=50.3, "Baseline 19/10", "Đang giảm")))</f>
        <v/>
      </c>
      <c r="R128" s="58" t="n"/>
    </row>
    <row r="129" ht="22" customHeight="1">
      <c r="A129" s="61" t="n">
        <v>46439</v>
      </c>
      <c r="B129" s="9">
        <f>TEXT(A129, "dddd")</f>
        <v/>
      </c>
      <c r="C129" s="65" t="n"/>
      <c r="D129" s="67" t="n"/>
      <c r="E129" s="67" t="n"/>
      <c r="F129" s="67" t="n"/>
      <c r="G129" s="67" t="n"/>
      <c r="H129" s="67" t="n"/>
      <c r="I129" s="7" t="n"/>
      <c r="J129" s="7" t="n"/>
      <c r="K129" s="7" t="n"/>
      <c r="L129" s="68">
        <f>IF(COUNT(C123:C129)&lt;4, "CHƯA ĐỦ DỮ LIỆU", AVERAGE(C123:C129))</f>
        <v/>
      </c>
      <c r="M129" s="69">
        <f>IF(OR(L129="CHƯA ĐỦ DỮ LIỆU", L122="CHƯA ĐỦ DỮ LIỆU"), "-", IF(AND(ISNUMBER(L129), ISNUMBER(L122)), L129-L122, "-"))</f>
        <v/>
      </c>
      <c r="N129" s="70">
        <f>IF(C129="", "", MAX(0, 55-C129))</f>
        <v/>
      </c>
      <c r="O129" s="70">
        <f>IF(C129="", "", MAX(0, 60-C129))</f>
        <v/>
      </c>
      <c r="P129" s="70">
        <f>IF(C129="", "", MAX(0, 65-C129))</f>
        <v/>
      </c>
      <c r="Q129" s="9">
        <f>IF(C129="", "", IF(C129&gt;50.3, "Đang tăng", IF(C129=50.3, "Baseline 19/10", "Đang giảm")))</f>
        <v/>
      </c>
      <c r="R129" s="58" t="n"/>
    </row>
    <row r="130" ht="22" customHeight="1">
      <c r="A130" s="61" t="n">
        <v>46440</v>
      </c>
      <c r="B130" s="9">
        <f>TEXT(A130, "dddd")</f>
        <v/>
      </c>
      <c r="C130" s="65" t="n"/>
      <c r="D130" s="67" t="n"/>
      <c r="E130" s="67" t="n"/>
      <c r="F130" s="67" t="n"/>
      <c r="G130" s="67" t="n"/>
      <c r="H130" s="67" t="n"/>
      <c r="I130" s="7" t="n"/>
      <c r="J130" s="7" t="n"/>
      <c r="K130" s="7" t="n"/>
      <c r="L130" s="68">
        <f>IF(COUNT(C124:C130)&lt;4, "CHƯA ĐỦ DỮ LIỆU", AVERAGE(C124:C130))</f>
        <v/>
      </c>
      <c r="M130" s="69">
        <f>IF(OR(L130="CHƯA ĐỦ DỮ LIỆU", L123="CHƯA ĐỦ DỮ LIỆU"), "-", IF(AND(ISNUMBER(L130), ISNUMBER(L123)), L130-L123, "-"))</f>
        <v/>
      </c>
      <c r="N130" s="70">
        <f>IF(C130="", "", MAX(0, 55-C130))</f>
        <v/>
      </c>
      <c r="O130" s="70">
        <f>IF(C130="", "", MAX(0, 60-C130))</f>
        <v/>
      </c>
      <c r="P130" s="70">
        <f>IF(C130="", "", MAX(0, 65-C130))</f>
        <v/>
      </c>
      <c r="Q130" s="9">
        <f>IF(C130="", "", IF(C130&gt;50.3, "Đang tăng", IF(C130=50.3, "Baseline 19/10", "Đang giảm")))</f>
        <v/>
      </c>
      <c r="R130" s="58" t="n"/>
    </row>
    <row r="131" ht="22" customHeight="1">
      <c r="A131" s="61" t="n">
        <v>46441</v>
      </c>
      <c r="B131" s="9">
        <f>TEXT(A131, "dddd")</f>
        <v/>
      </c>
      <c r="C131" s="65" t="n"/>
      <c r="D131" s="67" t="n"/>
      <c r="E131" s="67" t="n"/>
      <c r="F131" s="67" t="n"/>
      <c r="G131" s="67" t="n"/>
      <c r="H131" s="67" t="n"/>
      <c r="I131" s="7" t="n"/>
      <c r="J131" s="7" t="n"/>
      <c r="K131" s="7" t="n"/>
      <c r="L131" s="68">
        <f>IF(COUNT(C125:C131)&lt;4, "CHƯA ĐỦ DỮ LIỆU", AVERAGE(C125:C131))</f>
        <v/>
      </c>
      <c r="M131" s="69">
        <f>IF(OR(L131="CHƯA ĐỦ DỮ LIỆU", L124="CHƯA ĐỦ DỮ LIỆU"), "-", IF(AND(ISNUMBER(L131), ISNUMBER(L124)), L131-L124, "-"))</f>
        <v/>
      </c>
      <c r="N131" s="70">
        <f>IF(C131="", "", MAX(0, 55-C131))</f>
        <v/>
      </c>
      <c r="O131" s="70">
        <f>IF(C131="", "", MAX(0, 60-C131))</f>
        <v/>
      </c>
      <c r="P131" s="70">
        <f>IF(C131="", "", MAX(0, 65-C131))</f>
        <v/>
      </c>
      <c r="Q131" s="9">
        <f>IF(C131="", "", IF(C131&gt;50.3, "Đang tăng", IF(C131=50.3, "Baseline 19/10", "Đang giảm")))</f>
        <v/>
      </c>
      <c r="R131" s="58" t="n"/>
    </row>
    <row r="132" ht="22" customHeight="1">
      <c r="A132" s="61" t="n">
        <v>46442</v>
      </c>
      <c r="B132" s="9">
        <f>TEXT(A132, "dddd")</f>
        <v/>
      </c>
      <c r="C132" s="65" t="n"/>
      <c r="D132" s="67" t="n"/>
      <c r="E132" s="67" t="n"/>
      <c r="F132" s="67" t="n"/>
      <c r="G132" s="67" t="n"/>
      <c r="H132" s="67" t="n"/>
      <c r="I132" s="7" t="n"/>
      <c r="J132" s="7" t="n"/>
      <c r="K132" s="7" t="n"/>
      <c r="L132" s="68">
        <f>IF(COUNT(C126:C132)&lt;4, "CHƯA ĐỦ DỮ LIỆU", AVERAGE(C126:C132))</f>
        <v/>
      </c>
      <c r="M132" s="69">
        <f>IF(OR(L132="CHƯA ĐỦ DỮ LIỆU", L125="CHƯA ĐỦ DỮ LIỆU"), "-", IF(AND(ISNUMBER(L132), ISNUMBER(L125)), L132-L125, "-"))</f>
        <v/>
      </c>
      <c r="N132" s="70">
        <f>IF(C132="", "", MAX(0, 55-C132))</f>
        <v/>
      </c>
      <c r="O132" s="70">
        <f>IF(C132="", "", MAX(0, 60-C132))</f>
        <v/>
      </c>
      <c r="P132" s="70">
        <f>IF(C132="", "", MAX(0, 65-C132))</f>
        <v/>
      </c>
      <c r="Q132" s="9">
        <f>IF(C132="", "", IF(C132&gt;50.3, "Đang tăng", IF(C132=50.3, "Baseline 19/10", "Đang giảm")))</f>
        <v/>
      </c>
      <c r="R132" s="58" t="n"/>
    </row>
    <row r="133" ht="22" customHeight="1">
      <c r="A133" s="61" t="n">
        <v>46443</v>
      </c>
      <c r="B133" s="9">
        <f>TEXT(A133, "dddd")</f>
        <v/>
      </c>
      <c r="C133" s="65" t="n"/>
      <c r="D133" s="67" t="n"/>
      <c r="E133" s="67" t="n"/>
      <c r="F133" s="67" t="n"/>
      <c r="G133" s="67" t="n"/>
      <c r="H133" s="67" t="n"/>
      <c r="I133" s="7" t="n"/>
      <c r="J133" s="7" t="n"/>
      <c r="K133" s="7" t="n"/>
      <c r="L133" s="68">
        <f>IF(COUNT(C127:C133)&lt;4, "CHƯA ĐỦ DỮ LIỆU", AVERAGE(C127:C133))</f>
        <v/>
      </c>
      <c r="M133" s="69">
        <f>IF(OR(L133="CHƯA ĐỦ DỮ LIỆU", L126="CHƯA ĐỦ DỮ LIỆU"), "-", IF(AND(ISNUMBER(L133), ISNUMBER(L126)), L133-L126, "-"))</f>
        <v/>
      </c>
      <c r="N133" s="70">
        <f>IF(C133="", "", MAX(0, 55-C133))</f>
        <v/>
      </c>
      <c r="O133" s="70">
        <f>IF(C133="", "", MAX(0, 60-C133))</f>
        <v/>
      </c>
      <c r="P133" s="70">
        <f>IF(C133="", "", MAX(0, 65-C133))</f>
        <v/>
      </c>
      <c r="Q133" s="9">
        <f>IF(C133="", "", IF(C133&gt;50.3, "Đang tăng", IF(C133=50.3, "Baseline 19/10", "Đang giảm")))</f>
        <v/>
      </c>
      <c r="R133" s="58" t="n"/>
    </row>
    <row r="134" ht="22" customHeight="1">
      <c r="A134" s="61" t="n">
        <v>46444</v>
      </c>
      <c r="B134" s="9">
        <f>TEXT(A134, "dddd")</f>
        <v/>
      </c>
      <c r="C134" s="65" t="n"/>
      <c r="D134" s="67" t="n"/>
      <c r="E134" s="67" t="n"/>
      <c r="F134" s="67" t="n"/>
      <c r="G134" s="67" t="n"/>
      <c r="H134" s="67" t="n"/>
      <c r="I134" s="7" t="n"/>
      <c r="J134" s="7" t="n"/>
      <c r="K134" s="7" t="n"/>
      <c r="L134" s="68">
        <f>IF(COUNT(C128:C134)&lt;4, "CHƯA ĐỦ DỮ LIỆU", AVERAGE(C128:C134))</f>
        <v/>
      </c>
      <c r="M134" s="69">
        <f>IF(OR(L134="CHƯA ĐỦ DỮ LIỆU", L127="CHƯA ĐỦ DỮ LIỆU"), "-", IF(AND(ISNUMBER(L134), ISNUMBER(L127)), L134-L127, "-"))</f>
        <v/>
      </c>
      <c r="N134" s="70">
        <f>IF(C134="", "", MAX(0, 55-C134))</f>
        <v/>
      </c>
      <c r="O134" s="70">
        <f>IF(C134="", "", MAX(0, 60-C134))</f>
        <v/>
      </c>
      <c r="P134" s="70">
        <f>IF(C134="", "", MAX(0, 65-C134))</f>
        <v/>
      </c>
      <c r="Q134" s="9">
        <f>IF(C134="", "", IF(C134&gt;50.3, "Đang tăng", IF(C134=50.3, "Baseline 19/10", "Đang giảm")))</f>
        <v/>
      </c>
      <c r="R134" s="58" t="n"/>
    </row>
    <row r="135" ht="22" customHeight="1">
      <c r="A135" s="61" t="n">
        <v>46445</v>
      </c>
      <c r="B135" s="9">
        <f>TEXT(A135, "dddd")</f>
        <v/>
      </c>
      <c r="C135" s="65" t="n"/>
      <c r="D135" s="67" t="n"/>
      <c r="E135" s="67" t="n"/>
      <c r="F135" s="67" t="n"/>
      <c r="G135" s="67" t="n"/>
      <c r="H135" s="67" t="n"/>
      <c r="I135" s="7" t="n"/>
      <c r="J135" s="7" t="n"/>
      <c r="K135" s="7" t="n"/>
      <c r="L135" s="68">
        <f>IF(COUNT(C129:C135)&lt;4, "CHƯA ĐỦ DỮ LIỆU", AVERAGE(C129:C135))</f>
        <v/>
      </c>
      <c r="M135" s="69">
        <f>IF(OR(L135="CHƯA ĐỦ DỮ LIỆU", L128="CHƯA ĐỦ DỮ LIỆU"), "-", IF(AND(ISNUMBER(L135), ISNUMBER(L128)), L135-L128, "-"))</f>
        <v/>
      </c>
      <c r="N135" s="70">
        <f>IF(C135="", "", MAX(0, 55-C135))</f>
        <v/>
      </c>
      <c r="O135" s="70">
        <f>IF(C135="", "", MAX(0, 60-C135))</f>
        <v/>
      </c>
      <c r="P135" s="70">
        <f>IF(C135="", "", MAX(0, 65-C135))</f>
        <v/>
      </c>
      <c r="Q135" s="9">
        <f>IF(C135="", "", IF(C135&gt;50.3, "Đang tăng", IF(C135=50.3, "Baseline 19/10", "Đang giảm")))</f>
        <v/>
      </c>
      <c r="R135" s="58" t="n"/>
    </row>
    <row r="136" ht="22" customHeight="1">
      <c r="A136" s="61" t="n">
        <v>46446</v>
      </c>
      <c r="B136" s="9">
        <f>TEXT(A136, "dddd")</f>
        <v/>
      </c>
      <c r="C136" s="65" t="n"/>
      <c r="D136" s="67" t="n"/>
      <c r="E136" s="67" t="n"/>
      <c r="F136" s="67" t="n"/>
      <c r="G136" s="67" t="n"/>
      <c r="H136" s="67" t="n"/>
      <c r="I136" s="7" t="n"/>
      <c r="J136" s="7" t="n"/>
      <c r="K136" s="7" t="n"/>
      <c r="L136" s="68">
        <f>IF(COUNT(C130:C136)&lt;4, "CHƯA ĐỦ DỮ LIỆU", AVERAGE(C130:C136))</f>
        <v/>
      </c>
      <c r="M136" s="69">
        <f>IF(OR(L136="CHƯA ĐỦ DỮ LIỆU", L129="CHƯA ĐỦ DỮ LIỆU"), "-", IF(AND(ISNUMBER(L136), ISNUMBER(L129)), L136-L129, "-"))</f>
        <v/>
      </c>
      <c r="N136" s="70">
        <f>IF(C136="", "", MAX(0, 55-C136))</f>
        <v/>
      </c>
      <c r="O136" s="70">
        <f>IF(C136="", "", MAX(0, 60-C136))</f>
        <v/>
      </c>
      <c r="P136" s="70">
        <f>IF(C136="", "", MAX(0, 65-C136))</f>
        <v/>
      </c>
      <c r="Q136" s="9">
        <f>IF(C136="", "", IF(C136&gt;50.3, "Đang tăng", IF(C136=50.3, "Baseline 19/10", "Đang giảm")))</f>
        <v/>
      </c>
      <c r="R136" s="58" t="n"/>
    </row>
    <row r="137" ht="22" customHeight="1">
      <c r="A137" s="61" t="n">
        <v>46447</v>
      </c>
      <c r="B137" s="9">
        <f>TEXT(A137, "dddd")</f>
        <v/>
      </c>
      <c r="C137" s="65" t="n"/>
      <c r="D137" s="67" t="n"/>
      <c r="E137" s="67" t="n"/>
      <c r="F137" s="67" t="n"/>
      <c r="G137" s="67" t="n"/>
      <c r="H137" s="67" t="n"/>
      <c r="I137" s="7" t="n"/>
      <c r="J137" s="7" t="n"/>
      <c r="K137" s="7" t="n"/>
      <c r="L137" s="68">
        <f>IF(COUNT(C131:C137)&lt;4, "CHƯA ĐỦ DỮ LIỆU", AVERAGE(C131:C137))</f>
        <v/>
      </c>
      <c r="M137" s="69">
        <f>IF(OR(L137="CHƯA ĐỦ DỮ LIỆU", L130="CHƯA ĐỦ DỮ LIỆU"), "-", IF(AND(ISNUMBER(L137), ISNUMBER(L130)), L137-L130, "-"))</f>
        <v/>
      </c>
      <c r="N137" s="70">
        <f>IF(C137="", "", MAX(0, 55-C137))</f>
        <v/>
      </c>
      <c r="O137" s="70">
        <f>IF(C137="", "", MAX(0, 60-C137))</f>
        <v/>
      </c>
      <c r="P137" s="70">
        <f>IF(C137="", "", MAX(0, 65-C137))</f>
        <v/>
      </c>
      <c r="Q137" s="9">
        <f>IF(C137="", "", IF(C137&gt;50.3, "Đang tăng", IF(C137=50.3, "Baseline 19/10", "Đang giảm")))</f>
        <v/>
      </c>
      <c r="R137" s="58" t="n"/>
    </row>
    <row r="138" ht="22" customHeight="1">
      <c r="A138" s="61" t="n">
        <v>46448</v>
      </c>
      <c r="B138" s="9">
        <f>TEXT(A138, "dddd")</f>
        <v/>
      </c>
      <c r="C138" s="65" t="n"/>
      <c r="D138" s="67" t="n"/>
      <c r="E138" s="67" t="n"/>
      <c r="F138" s="67" t="n"/>
      <c r="G138" s="67" t="n"/>
      <c r="H138" s="67" t="n"/>
      <c r="I138" s="7" t="n"/>
      <c r="J138" s="7" t="n"/>
      <c r="K138" s="7" t="n"/>
      <c r="L138" s="68">
        <f>IF(COUNT(C132:C138)&lt;4, "CHƯA ĐỦ DỮ LIỆU", AVERAGE(C132:C138))</f>
        <v/>
      </c>
      <c r="M138" s="69">
        <f>IF(OR(L138="CHƯA ĐỦ DỮ LIỆU", L131="CHƯA ĐỦ DỮ LIỆU"), "-", IF(AND(ISNUMBER(L138), ISNUMBER(L131)), L138-L131, "-"))</f>
        <v/>
      </c>
      <c r="N138" s="70">
        <f>IF(C138="", "", MAX(0, 55-C138))</f>
        <v/>
      </c>
      <c r="O138" s="70">
        <f>IF(C138="", "", MAX(0, 60-C138))</f>
        <v/>
      </c>
      <c r="P138" s="70">
        <f>IF(C138="", "", MAX(0, 65-C138))</f>
        <v/>
      </c>
      <c r="Q138" s="9">
        <f>IF(C138="", "", IF(C138&gt;50.3, "Đang tăng", IF(C138=50.3, "Baseline 19/10", "Đang giảm")))</f>
        <v/>
      </c>
      <c r="R138" s="58" t="n"/>
    </row>
    <row r="139" ht="22" customHeight="1">
      <c r="A139" s="61" t="n">
        <v>46449</v>
      </c>
      <c r="B139" s="9">
        <f>TEXT(A139, "dddd")</f>
        <v/>
      </c>
      <c r="C139" s="65" t="n"/>
      <c r="D139" s="67" t="n"/>
      <c r="E139" s="67" t="n"/>
      <c r="F139" s="67" t="n"/>
      <c r="G139" s="67" t="n"/>
      <c r="H139" s="67" t="n"/>
      <c r="I139" s="7" t="n"/>
      <c r="J139" s="7" t="n"/>
      <c r="K139" s="7" t="n"/>
      <c r="L139" s="68">
        <f>IF(COUNT(C133:C139)&lt;4, "CHƯA ĐỦ DỮ LIỆU", AVERAGE(C133:C139))</f>
        <v/>
      </c>
      <c r="M139" s="69">
        <f>IF(OR(L139="CHƯA ĐỦ DỮ LIỆU", L132="CHƯA ĐỦ DỮ LIỆU"), "-", IF(AND(ISNUMBER(L139), ISNUMBER(L132)), L139-L132, "-"))</f>
        <v/>
      </c>
      <c r="N139" s="70">
        <f>IF(C139="", "", MAX(0, 55-C139))</f>
        <v/>
      </c>
      <c r="O139" s="70">
        <f>IF(C139="", "", MAX(0, 60-C139))</f>
        <v/>
      </c>
      <c r="P139" s="70">
        <f>IF(C139="", "", MAX(0, 65-C139))</f>
        <v/>
      </c>
      <c r="Q139" s="9">
        <f>IF(C139="", "", IF(C139&gt;50.3, "Đang tăng", IF(C139=50.3, "Baseline 19/10", "Đang giảm")))</f>
        <v/>
      </c>
      <c r="R139" s="58" t="n"/>
    </row>
    <row r="140" ht="22" customHeight="1">
      <c r="A140" s="61" t="n">
        <v>46450</v>
      </c>
      <c r="B140" s="9">
        <f>TEXT(A140, "dddd")</f>
        <v/>
      </c>
      <c r="C140" s="65" t="n"/>
      <c r="D140" s="67" t="n"/>
      <c r="E140" s="67" t="n"/>
      <c r="F140" s="67" t="n"/>
      <c r="G140" s="67" t="n"/>
      <c r="H140" s="67" t="n"/>
      <c r="I140" s="7" t="n"/>
      <c r="J140" s="7" t="n"/>
      <c r="K140" s="7" t="n"/>
      <c r="L140" s="68">
        <f>IF(COUNT(C134:C140)&lt;4, "CHƯA ĐỦ DỮ LIỆU", AVERAGE(C134:C140))</f>
        <v/>
      </c>
      <c r="M140" s="69">
        <f>IF(OR(L140="CHƯA ĐỦ DỮ LIỆU", L133="CHƯA ĐỦ DỮ LIỆU"), "-", IF(AND(ISNUMBER(L140), ISNUMBER(L133)), L140-L133, "-"))</f>
        <v/>
      </c>
      <c r="N140" s="70">
        <f>IF(C140="", "", MAX(0, 55-C140))</f>
        <v/>
      </c>
      <c r="O140" s="70">
        <f>IF(C140="", "", MAX(0, 60-C140))</f>
        <v/>
      </c>
      <c r="P140" s="70">
        <f>IF(C140="", "", MAX(0, 65-C140))</f>
        <v/>
      </c>
      <c r="Q140" s="9">
        <f>IF(C140="", "", IF(C140&gt;50.3, "Đang tăng", IF(C140=50.3, "Baseline 19/10", "Đang giảm")))</f>
        <v/>
      </c>
      <c r="R140" s="58" t="n"/>
    </row>
    <row r="141" ht="22" customHeight="1">
      <c r="A141" s="61" t="n">
        <v>46451</v>
      </c>
      <c r="B141" s="9">
        <f>TEXT(A141, "dddd")</f>
        <v/>
      </c>
      <c r="C141" s="65" t="n"/>
      <c r="D141" s="67" t="n"/>
      <c r="E141" s="67" t="n"/>
      <c r="F141" s="67" t="n"/>
      <c r="G141" s="67" t="n"/>
      <c r="H141" s="67" t="n"/>
      <c r="I141" s="7" t="n"/>
      <c r="J141" s="7" t="n"/>
      <c r="K141" s="7" t="n"/>
      <c r="L141" s="68">
        <f>IF(COUNT(C135:C141)&lt;4, "CHƯA ĐỦ DỮ LIỆU", AVERAGE(C135:C141))</f>
        <v/>
      </c>
      <c r="M141" s="69">
        <f>IF(OR(L141="CHƯA ĐỦ DỮ LIỆU", L134="CHƯA ĐỦ DỮ LIỆU"), "-", IF(AND(ISNUMBER(L141), ISNUMBER(L134)), L141-L134, "-"))</f>
        <v/>
      </c>
      <c r="N141" s="70">
        <f>IF(C141="", "", MAX(0, 55-C141))</f>
        <v/>
      </c>
      <c r="O141" s="70">
        <f>IF(C141="", "", MAX(0, 60-C141))</f>
        <v/>
      </c>
      <c r="P141" s="70">
        <f>IF(C141="", "", MAX(0, 65-C141))</f>
        <v/>
      </c>
      <c r="Q141" s="9">
        <f>IF(C141="", "", IF(C141&gt;50.3, "Đang tăng", IF(C141=50.3, "Baseline 19/10", "Đang giảm")))</f>
        <v/>
      </c>
      <c r="R141" s="58" t="n"/>
    </row>
    <row r="142" ht="22" customHeight="1">
      <c r="A142" s="61" t="n">
        <v>46452</v>
      </c>
      <c r="B142" s="9">
        <f>TEXT(A142, "dddd")</f>
        <v/>
      </c>
      <c r="C142" s="65" t="n"/>
      <c r="D142" s="67" t="n"/>
      <c r="E142" s="67" t="n"/>
      <c r="F142" s="67" t="n"/>
      <c r="G142" s="67" t="n"/>
      <c r="H142" s="67" t="n"/>
      <c r="I142" s="7" t="n"/>
      <c r="J142" s="7" t="n"/>
      <c r="K142" s="7" t="n"/>
      <c r="L142" s="68">
        <f>IF(COUNT(C136:C142)&lt;4, "CHƯA ĐỦ DỮ LIỆU", AVERAGE(C136:C142))</f>
        <v/>
      </c>
      <c r="M142" s="69">
        <f>IF(OR(L142="CHƯA ĐỦ DỮ LIỆU", L135="CHƯA ĐỦ DỮ LIỆU"), "-", IF(AND(ISNUMBER(L142), ISNUMBER(L135)), L142-L135, "-"))</f>
        <v/>
      </c>
      <c r="N142" s="70">
        <f>IF(C142="", "", MAX(0, 55-C142))</f>
        <v/>
      </c>
      <c r="O142" s="70">
        <f>IF(C142="", "", MAX(0, 60-C142))</f>
        <v/>
      </c>
      <c r="P142" s="70">
        <f>IF(C142="", "", MAX(0, 65-C142))</f>
        <v/>
      </c>
      <c r="Q142" s="9">
        <f>IF(C142="", "", IF(C142&gt;50.3, "Đang tăng", IF(C142=50.3, "Baseline 19/10", "Đang giảm")))</f>
        <v/>
      </c>
      <c r="R142" s="58" t="n"/>
    </row>
    <row r="143" ht="22" customHeight="1">
      <c r="A143" s="61" t="n">
        <v>46453</v>
      </c>
      <c r="B143" s="9">
        <f>TEXT(A143, "dddd")</f>
        <v/>
      </c>
      <c r="C143" s="65" t="n"/>
      <c r="D143" s="67" t="n"/>
      <c r="E143" s="67" t="n"/>
      <c r="F143" s="67" t="n"/>
      <c r="G143" s="67" t="n"/>
      <c r="H143" s="67" t="n"/>
      <c r="I143" s="7" t="n"/>
      <c r="J143" s="7" t="n"/>
      <c r="K143" s="7" t="n"/>
      <c r="L143" s="68">
        <f>IF(COUNT(C137:C143)&lt;4, "CHƯA ĐỦ DỮ LIỆU", AVERAGE(C137:C143))</f>
        <v/>
      </c>
      <c r="M143" s="69">
        <f>IF(OR(L143="CHƯA ĐỦ DỮ LIỆU", L136="CHƯA ĐỦ DỮ LIỆU"), "-", IF(AND(ISNUMBER(L143), ISNUMBER(L136)), L143-L136, "-"))</f>
        <v/>
      </c>
      <c r="N143" s="70">
        <f>IF(C143="", "", MAX(0, 55-C143))</f>
        <v/>
      </c>
      <c r="O143" s="70">
        <f>IF(C143="", "", MAX(0, 60-C143))</f>
        <v/>
      </c>
      <c r="P143" s="70">
        <f>IF(C143="", "", MAX(0, 65-C143))</f>
        <v/>
      </c>
      <c r="Q143" s="9">
        <f>IF(C143="", "", IF(C143&gt;50.3, "Đang tăng", IF(C143=50.3, "Baseline 19/10", "Đang giảm")))</f>
        <v/>
      </c>
      <c r="R143" s="58" t="n"/>
    </row>
    <row r="144" ht="22" customHeight="1">
      <c r="A144" s="61" t="n">
        <v>46454</v>
      </c>
      <c r="B144" s="9">
        <f>TEXT(A144, "dddd")</f>
        <v/>
      </c>
      <c r="C144" s="65" t="n"/>
      <c r="D144" s="67" t="n"/>
      <c r="E144" s="67" t="n"/>
      <c r="F144" s="67" t="n"/>
      <c r="G144" s="67" t="n"/>
      <c r="H144" s="67" t="n"/>
      <c r="I144" s="7" t="n"/>
      <c r="J144" s="7" t="n"/>
      <c r="K144" s="7" t="n"/>
      <c r="L144" s="68">
        <f>IF(COUNT(C138:C144)&lt;4, "CHƯA ĐỦ DỮ LIỆU", AVERAGE(C138:C144))</f>
        <v/>
      </c>
      <c r="M144" s="69">
        <f>IF(OR(L144="CHƯA ĐỦ DỮ LIỆU", L137="CHƯA ĐỦ DỮ LIỆU"), "-", IF(AND(ISNUMBER(L144), ISNUMBER(L137)), L144-L137, "-"))</f>
        <v/>
      </c>
      <c r="N144" s="70">
        <f>IF(C144="", "", MAX(0, 55-C144))</f>
        <v/>
      </c>
      <c r="O144" s="70">
        <f>IF(C144="", "", MAX(0, 60-C144))</f>
        <v/>
      </c>
      <c r="P144" s="70">
        <f>IF(C144="", "", MAX(0, 65-C144))</f>
        <v/>
      </c>
      <c r="Q144" s="9">
        <f>IF(C144="", "", IF(C144&gt;50.3, "Đang tăng", IF(C144=50.3, "Baseline 19/10", "Đang giảm")))</f>
        <v/>
      </c>
      <c r="R144" s="58" t="n"/>
    </row>
    <row r="145" ht="22" customHeight="1">
      <c r="A145" s="61" t="n">
        <v>46455</v>
      </c>
      <c r="B145" s="9">
        <f>TEXT(A145, "dddd")</f>
        <v/>
      </c>
      <c r="C145" s="65" t="n"/>
      <c r="D145" s="67" t="n"/>
      <c r="E145" s="67" t="n"/>
      <c r="F145" s="67" t="n"/>
      <c r="G145" s="67" t="n"/>
      <c r="H145" s="67" t="n"/>
      <c r="I145" s="7" t="n"/>
      <c r="J145" s="7" t="n"/>
      <c r="K145" s="7" t="n"/>
      <c r="L145" s="68">
        <f>IF(COUNT(C139:C145)&lt;4, "CHƯA ĐỦ DỮ LIỆU", AVERAGE(C139:C145))</f>
        <v/>
      </c>
      <c r="M145" s="69">
        <f>IF(OR(L145="CHƯA ĐỦ DỮ LIỆU", L138="CHƯA ĐỦ DỮ LIỆU"), "-", IF(AND(ISNUMBER(L145), ISNUMBER(L138)), L145-L138, "-"))</f>
        <v/>
      </c>
      <c r="N145" s="70">
        <f>IF(C145="", "", MAX(0, 55-C145))</f>
        <v/>
      </c>
      <c r="O145" s="70">
        <f>IF(C145="", "", MAX(0, 60-C145))</f>
        <v/>
      </c>
      <c r="P145" s="70">
        <f>IF(C145="", "", MAX(0, 65-C145))</f>
        <v/>
      </c>
      <c r="Q145" s="9">
        <f>IF(C145="", "", IF(C145&gt;50.3, "Đang tăng", IF(C145=50.3, "Baseline 19/10", "Đang giảm")))</f>
        <v/>
      </c>
      <c r="R145" s="58" t="n"/>
    </row>
    <row r="146" ht="22" customHeight="1">
      <c r="A146" s="61" t="n">
        <v>46456</v>
      </c>
      <c r="B146" s="9">
        <f>TEXT(A146, "dddd")</f>
        <v/>
      </c>
      <c r="C146" s="65" t="n"/>
      <c r="D146" s="67" t="n"/>
      <c r="E146" s="67" t="n"/>
      <c r="F146" s="67" t="n"/>
      <c r="G146" s="67" t="n"/>
      <c r="H146" s="67" t="n"/>
      <c r="I146" s="7" t="n"/>
      <c r="J146" s="7" t="n"/>
      <c r="K146" s="7" t="n"/>
      <c r="L146" s="68">
        <f>IF(COUNT(C140:C146)&lt;4, "CHƯA ĐỦ DỮ LIỆU", AVERAGE(C140:C146))</f>
        <v/>
      </c>
      <c r="M146" s="69">
        <f>IF(OR(L146="CHƯA ĐỦ DỮ LIỆU", L139="CHƯA ĐỦ DỮ LIỆU"), "-", IF(AND(ISNUMBER(L146), ISNUMBER(L139)), L146-L139, "-"))</f>
        <v/>
      </c>
      <c r="N146" s="70">
        <f>IF(C146="", "", MAX(0, 55-C146))</f>
        <v/>
      </c>
      <c r="O146" s="70">
        <f>IF(C146="", "", MAX(0, 60-C146))</f>
        <v/>
      </c>
      <c r="P146" s="70">
        <f>IF(C146="", "", MAX(0, 65-C146))</f>
        <v/>
      </c>
      <c r="Q146" s="9">
        <f>IF(C146="", "", IF(C146&gt;50.3, "Đang tăng", IF(C146=50.3, "Baseline 19/10", "Đang giảm")))</f>
        <v/>
      </c>
      <c r="R146" s="58" t="n"/>
    </row>
    <row r="147" ht="22" customHeight="1">
      <c r="A147" s="61" t="n">
        <v>46457</v>
      </c>
      <c r="B147" s="9">
        <f>TEXT(A147, "dddd")</f>
        <v/>
      </c>
      <c r="C147" s="65" t="n"/>
      <c r="D147" s="67" t="n"/>
      <c r="E147" s="67" t="n"/>
      <c r="F147" s="67" t="n"/>
      <c r="G147" s="67" t="n"/>
      <c r="H147" s="67" t="n"/>
      <c r="I147" s="7" t="n"/>
      <c r="J147" s="7" t="n"/>
      <c r="K147" s="7" t="n"/>
      <c r="L147" s="68">
        <f>IF(COUNT(C141:C147)&lt;4, "CHƯA ĐỦ DỮ LIỆU", AVERAGE(C141:C147))</f>
        <v/>
      </c>
      <c r="M147" s="69">
        <f>IF(OR(L147="CHƯA ĐỦ DỮ LIỆU", L140="CHƯA ĐỦ DỮ LIỆU"), "-", IF(AND(ISNUMBER(L147), ISNUMBER(L140)), L147-L140, "-"))</f>
        <v/>
      </c>
      <c r="N147" s="70">
        <f>IF(C147="", "", MAX(0, 55-C147))</f>
        <v/>
      </c>
      <c r="O147" s="70">
        <f>IF(C147="", "", MAX(0, 60-C147))</f>
        <v/>
      </c>
      <c r="P147" s="70">
        <f>IF(C147="", "", MAX(0, 65-C147))</f>
        <v/>
      </c>
      <c r="Q147" s="9">
        <f>IF(C147="", "", IF(C147&gt;50.3, "Đang tăng", IF(C147=50.3, "Baseline 19/10", "Đang giảm")))</f>
        <v/>
      </c>
      <c r="R147" s="58" t="n"/>
    </row>
    <row r="148" ht="22" customHeight="1">
      <c r="A148" s="61" t="n">
        <v>46458</v>
      </c>
      <c r="B148" s="9">
        <f>TEXT(A148, "dddd")</f>
        <v/>
      </c>
      <c r="C148" s="65" t="n"/>
      <c r="D148" s="67" t="n"/>
      <c r="E148" s="67" t="n"/>
      <c r="F148" s="67" t="n"/>
      <c r="G148" s="67" t="n"/>
      <c r="H148" s="67" t="n"/>
      <c r="I148" s="7" t="n"/>
      <c r="J148" s="7" t="n"/>
      <c r="K148" s="7" t="n"/>
      <c r="L148" s="68">
        <f>IF(COUNT(C142:C148)&lt;4, "CHƯA ĐỦ DỮ LIỆU", AVERAGE(C142:C148))</f>
        <v/>
      </c>
      <c r="M148" s="69">
        <f>IF(OR(L148="CHƯA ĐỦ DỮ LIỆU", L141="CHƯA ĐỦ DỮ LIỆU"), "-", IF(AND(ISNUMBER(L148), ISNUMBER(L141)), L148-L141, "-"))</f>
        <v/>
      </c>
      <c r="N148" s="70">
        <f>IF(C148="", "", MAX(0, 55-C148))</f>
        <v/>
      </c>
      <c r="O148" s="70">
        <f>IF(C148="", "", MAX(0, 60-C148))</f>
        <v/>
      </c>
      <c r="P148" s="70">
        <f>IF(C148="", "", MAX(0, 65-C148))</f>
        <v/>
      </c>
      <c r="Q148" s="9">
        <f>IF(C148="", "", IF(C148&gt;50.3, "Đang tăng", IF(C148=50.3, "Baseline 19/10", "Đang giảm")))</f>
        <v/>
      </c>
      <c r="R148" s="58" t="n"/>
    </row>
    <row r="149" ht="22" customHeight="1">
      <c r="A149" s="61" t="n">
        <v>46459</v>
      </c>
      <c r="B149" s="9">
        <f>TEXT(A149, "dddd")</f>
        <v/>
      </c>
      <c r="C149" s="65" t="n"/>
      <c r="D149" s="67" t="n"/>
      <c r="E149" s="67" t="n"/>
      <c r="F149" s="67" t="n"/>
      <c r="G149" s="67" t="n"/>
      <c r="H149" s="67" t="n"/>
      <c r="I149" s="7" t="n"/>
      <c r="J149" s="7" t="n"/>
      <c r="K149" s="7" t="n"/>
      <c r="L149" s="68">
        <f>IF(COUNT(C143:C149)&lt;4, "CHƯA ĐỦ DỮ LIỆU", AVERAGE(C143:C149))</f>
        <v/>
      </c>
      <c r="M149" s="69">
        <f>IF(OR(L149="CHƯA ĐỦ DỮ LIỆU", L142="CHƯA ĐỦ DỮ LIỆU"), "-", IF(AND(ISNUMBER(L149), ISNUMBER(L142)), L149-L142, "-"))</f>
        <v/>
      </c>
      <c r="N149" s="70">
        <f>IF(C149="", "", MAX(0, 55-C149))</f>
        <v/>
      </c>
      <c r="O149" s="70">
        <f>IF(C149="", "", MAX(0, 60-C149))</f>
        <v/>
      </c>
      <c r="P149" s="70">
        <f>IF(C149="", "", MAX(0, 65-C149))</f>
        <v/>
      </c>
      <c r="Q149" s="9">
        <f>IF(C149="", "", IF(C149&gt;50.3, "Đang tăng", IF(C149=50.3, "Baseline 19/10", "Đang giảm")))</f>
        <v/>
      </c>
      <c r="R149" s="58" t="n"/>
    </row>
    <row r="150" ht="22" customHeight="1">
      <c r="A150" s="61" t="n">
        <v>46460</v>
      </c>
      <c r="B150" s="9">
        <f>TEXT(A150, "dddd")</f>
        <v/>
      </c>
      <c r="C150" s="65" t="n"/>
      <c r="D150" s="67" t="n"/>
      <c r="E150" s="67" t="n"/>
      <c r="F150" s="67" t="n"/>
      <c r="G150" s="67" t="n"/>
      <c r="H150" s="67" t="n"/>
      <c r="I150" s="7" t="n"/>
      <c r="J150" s="7" t="n"/>
      <c r="K150" s="7" t="n"/>
      <c r="L150" s="68">
        <f>IF(COUNT(C144:C150)&lt;4, "CHƯA ĐỦ DỮ LIỆU", AVERAGE(C144:C150))</f>
        <v/>
      </c>
      <c r="M150" s="69">
        <f>IF(OR(L150="CHƯA ĐỦ DỮ LIỆU", L143="CHƯA ĐỦ DỮ LIỆU"), "-", IF(AND(ISNUMBER(L150), ISNUMBER(L143)), L150-L143, "-"))</f>
        <v/>
      </c>
      <c r="N150" s="70">
        <f>IF(C150="", "", MAX(0, 55-C150))</f>
        <v/>
      </c>
      <c r="O150" s="70">
        <f>IF(C150="", "", MAX(0, 60-C150))</f>
        <v/>
      </c>
      <c r="P150" s="70">
        <f>IF(C150="", "", MAX(0, 65-C150))</f>
        <v/>
      </c>
      <c r="Q150" s="9">
        <f>IF(C150="", "", IF(C150&gt;50.3, "Đang tăng", IF(C150=50.3, "Baseline 19/10", "Đang giảm")))</f>
        <v/>
      </c>
      <c r="R150" s="58" t="n"/>
    </row>
    <row r="151" ht="22" customHeight="1">
      <c r="A151" s="61" t="n">
        <v>46461</v>
      </c>
      <c r="B151" s="9">
        <f>TEXT(A151, "dddd")</f>
        <v/>
      </c>
      <c r="C151" s="65" t="n"/>
      <c r="D151" s="67" t="n"/>
      <c r="E151" s="67" t="n"/>
      <c r="F151" s="67" t="n"/>
      <c r="G151" s="67" t="n"/>
      <c r="H151" s="67" t="n"/>
      <c r="I151" s="7" t="n"/>
      <c r="J151" s="7" t="n"/>
      <c r="K151" s="7" t="n"/>
      <c r="L151" s="68">
        <f>IF(COUNT(C145:C151)&lt;4, "CHƯA ĐỦ DỮ LIỆU", AVERAGE(C145:C151))</f>
        <v/>
      </c>
      <c r="M151" s="69">
        <f>IF(OR(L151="CHƯA ĐỦ DỮ LIỆU", L144="CHƯA ĐỦ DỮ LIỆU"), "-", IF(AND(ISNUMBER(L151), ISNUMBER(L144)), L151-L144, "-"))</f>
        <v/>
      </c>
      <c r="N151" s="70">
        <f>IF(C151="", "", MAX(0, 55-C151))</f>
        <v/>
      </c>
      <c r="O151" s="70">
        <f>IF(C151="", "", MAX(0, 60-C151))</f>
        <v/>
      </c>
      <c r="P151" s="70">
        <f>IF(C151="", "", MAX(0, 65-C151))</f>
        <v/>
      </c>
      <c r="Q151" s="9">
        <f>IF(C151="", "", IF(C151&gt;50.3, "Đang tăng", IF(C151=50.3, "Baseline 19/10", "Đang giảm")))</f>
        <v/>
      </c>
      <c r="R151" s="58" t="n"/>
    </row>
    <row r="152" ht="22" customHeight="1">
      <c r="A152" s="61" t="n">
        <v>46462</v>
      </c>
      <c r="B152" s="9">
        <f>TEXT(A152, "dddd")</f>
        <v/>
      </c>
      <c r="C152" s="65" t="n"/>
      <c r="D152" s="67" t="n"/>
      <c r="E152" s="67" t="n"/>
      <c r="F152" s="67" t="n"/>
      <c r="G152" s="67" t="n"/>
      <c r="H152" s="67" t="n"/>
      <c r="I152" s="7" t="n"/>
      <c r="J152" s="7" t="n"/>
      <c r="K152" s="7" t="n"/>
      <c r="L152" s="68">
        <f>IF(COUNT(C146:C152)&lt;4, "CHƯA ĐỦ DỮ LIỆU", AVERAGE(C146:C152))</f>
        <v/>
      </c>
      <c r="M152" s="69">
        <f>IF(OR(L152="CHƯA ĐỦ DỮ LIỆU", L145="CHƯA ĐỦ DỮ LIỆU"), "-", IF(AND(ISNUMBER(L152), ISNUMBER(L145)), L152-L145, "-"))</f>
        <v/>
      </c>
      <c r="N152" s="70">
        <f>IF(C152="", "", MAX(0, 55-C152))</f>
        <v/>
      </c>
      <c r="O152" s="70">
        <f>IF(C152="", "", MAX(0, 60-C152))</f>
        <v/>
      </c>
      <c r="P152" s="70">
        <f>IF(C152="", "", MAX(0, 65-C152))</f>
        <v/>
      </c>
      <c r="Q152" s="9">
        <f>IF(C152="", "", IF(C152&gt;50.3, "Đang tăng", IF(C152=50.3, "Baseline 19/10", "Đang giảm")))</f>
        <v/>
      </c>
      <c r="R152" s="58" t="n"/>
    </row>
    <row r="153" ht="22" customHeight="1">
      <c r="A153" s="61" t="n">
        <v>46463</v>
      </c>
      <c r="B153" s="9">
        <f>TEXT(A153, "dddd")</f>
        <v/>
      </c>
      <c r="C153" s="65" t="n"/>
      <c r="D153" s="67" t="n"/>
      <c r="E153" s="67" t="n"/>
      <c r="F153" s="67" t="n"/>
      <c r="G153" s="67" t="n"/>
      <c r="H153" s="67" t="n"/>
      <c r="I153" s="7" t="n"/>
      <c r="J153" s="7" t="n"/>
      <c r="K153" s="7" t="n"/>
      <c r="L153" s="68">
        <f>IF(COUNT(C147:C153)&lt;4, "CHƯA ĐỦ DỮ LIỆU", AVERAGE(C147:C153))</f>
        <v/>
      </c>
      <c r="M153" s="69">
        <f>IF(OR(L153="CHƯA ĐỦ DỮ LIỆU", L146="CHƯA ĐỦ DỮ LIỆU"), "-", IF(AND(ISNUMBER(L153), ISNUMBER(L146)), L153-L146, "-"))</f>
        <v/>
      </c>
      <c r="N153" s="70">
        <f>IF(C153="", "", MAX(0, 55-C153))</f>
        <v/>
      </c>
      <c r="O153" s="70">
        <f>IF(C153="", "", MAX(0, 60-C153))</f>
        <v/>
      </c>
      <c r="P153" s="70">
        <f>IF(C153="", "", MAX(0, 65-C153))</f>
        <v/>
      </c>
      <c r="Q153" s="9">
        <f>IF(C153="", "", IF(C153&gt;50.3, "Đang tăng", IF(C153=50.3, "Baseline 19/10", "Đang giảm")))</f>
        <v/>
      </c>
      <c r="R153" s="58" t="n"/>
    </row>
    <row r="154" ht="22" customHeight="1">
      <c r="A154" s="61" t="n">
        <v>46464</v>
      </c>
      <c r="B154" s="9">
        <f>TEXT(A154, "dddd")</f>
        <v/>
      </c>
      <c r="C154" s="65" t="n"/>
      <c r="D154" s="67" t="n"/>
      <c r="E154" s="67" t="n"/>
      <c r="F154" s="67" t="n"/>
      <c r="G154" s="67" t="n"/>
      <c r="H154" s="67" t="n"/>
      <c r="I154" s="7" t="n"/>
      <c r="J154" s="7" t="n"/>
      <c r="K154" s="7" t="n"/>
      <c r="L154" s="68">
        <f>IF(COUNT(C148:C154)&lt;4, "CHƯA ĐỦ DỮ LIỆU", AVERAGE(C148:C154))</f>
        <v/>
      </c>
      <c r="M154" s="69">
        <f>IF(OR(L154="CHƯA ĐỦ DỮ LIỆU", L147="CHƯA ĐỦ DỮ LIỆU"), "-", IF(AND(ISNUMBER(L154), ISNUMBER(L147)), L154-L147, "-"))</f>
        <v/>
      </c>
      <c r="N154" s="70">
        <f>IF(C154="", "", MAX(0, 55-C154))</f>
        <v/>
      </c>
      <c r="O154" s="70">
        <f>IF(C154="", "", MAX(0, 60-C154))</f>
        <v/>
      </c>
      <c r="P154" s="70">
        <f>IF(C154="", "", MAX(0, 65-C154))</f>
        <v/>
      </c>
      <c r="Q154" s="9">
        <f>IF(C154="", "", IF(C154&gt;50.3, "Đang tăng", IF(C154=50.3, "Baseline 19/10", "Đang giảm")))</f>
        <v/>
      </c>
      <c r="R154" s="58" t="n"/>
    </row>
    <row r="155" ht="22" customHeight="1">
      <c r="A155" s="61" t="n">
        <v>46465</v>
      </c>
      <c r="B155" s="9">
        <f>TEXT(A155, "dddd")</f>
        <v/>
      </c>
      <c r="C155" s="65" t="n"/>
      <c r="D155" s="67" t="n"/>
      <c r="E155" s="67" t="n"/>
      <c r="F155" s="67" t="n"/>
      <c r="G155" s="67" t="n"/>
      <c r="H155" s="67" t="n"/>
      <c r="I155" s="7" t="n"/>
      <c r="J155" s="7" t="n"/>
      <c r="K155" s="7" t="n"/>
      <c r="L155" s="68">
        <f>IF(COUNT(C149:C155)&lt;4, "CHƯA ĐỦ DỮ LIỆU", AVERAGE(C149:C155))</f>
        <v/>
      </c>
      <c r="M155" s="69">
        <f>IF(OR(L155="CHƯA ĐỦ DỮ LIỆU", L148="CHƯA ĐỦ DỮ LIỆU"), "-", IF(AND(ISNUMBER(L155), ISNUMBER(L148)), L155-L148, "-"))</f>
        <v/>
      </c>
      <c r="N155" s="70">
        <f>IF(C155="", "", MAX(0, 55-C155))</f>
        <v/>
      </c>
      <c r="O155" s="70">
        <f>IF(C155="", "", MAX(0, 60-C155))</f>
        <v/>
      </c>
      <c r="P155" s="70">
        <f>IF(C155="", "", MAX(0, 65-C155))</f>
        <v/>
      </c>
      <c r="Q155" s="9">
        <f>IF(C155="", "", IF(C155&gt;50.3, "Đang tăng", IF(C155=50.3, "Baseline 19/10", "Đang giảm")))</f>
        <v/>
      </c>
      <c r="R155" s="58" t="n"/>
    </row>
    <row r="156" ht="22" customHeight="1">
      <c r="A156" s="61" t="n">
        <v>46466</v>
      </c>
      <c r="B156" s="9">
        <f>TEXT(A156, "dddd")</f>
        <v/>
      </c>
      <c r="C156" s="65" t="n"/>
      <c r="D156" s="67" t="n"/>
      <c r="E156" s="67" t="n"/>
      <c r="F156" s="67" t="n"/>
      <c r="G156" s="67" t="n"/>
      <c r="H156" s="67" t="n"/>
      <c r="I156" s="7" t="n"/>
      <c r="J156" s="7" t="n"/>
      <c r="K156" s="7" t="n"/>
      <c r="L156" s="68">
        <f>IF(COUNT(C150:C156)&lt;4, "CHƯA ĐỦ DỮ LIỆU", AVERAGE(C150:C156))</f>
        <v/>
      </c>
      <c r="M156" s="69">
        <f>IF(OR(L156="CHƯA ĐỦ DỮ LIỆU", L149="CHƯA ĐỦ DỮ LIỆU"), "-", IF(AND(ISNUMBER(L156), ISNUMBER(L149)), L156-L149, "-"))</f>
        <v/>
      </c>
      <c r="N156" s="70">
        <f>IF(C156="", "", MAX(0, 55-C156))</f>
        <v/>
      </c>
      <c r="O156" s="70">
        <f>IF(C156="", "", MAX(0, 60-C156))</f>
        <v/>
      </c>
      <c r="P156" s="70">
        <f>IF(C156="", "", MAX(0, 65-C156))</f>
        <v/>
      </c>
      <c r="Q156" s="9">
        <f>IF(C156="", "", IF(C156&gt;50.3, "Đang tăng", IF(C156=50.3, "Baseline 19/10", "Đang giảm")))</f>
        <v/>
      </c>
      <c r="R156" s="58" t="n"/>
    </row>
    <row r="157" ht="22" customHeight="1">
      <c r="A157" s="61" t="n">
        <v>46467</v>
      </c>
      <c r="B157" s="9">
        <f>TEXT(A157, "dddd")</f>
        <v/>
      </c>
      <c r="C157" s="65" t="n"/>
      <c r="D157" s="67" t="n"/>
      <c r="E157" s="67" t="n"/>
      <c r="F157" s="67" t="n"/>
      <c r="G157" s="67" t="n"/>
      <c r="H157" s="67" t="n"/>
      <c r="I157" s="7" t="n"/>
      <c r="J157" s="7" t="n"/>
      <c r="K157" s="7" t="n"/>
      <c r="L157" s="68">
        <f>IF(COUNT(C151:C157)&lt;4, "CHƯA ĐỦ DỮ LIỆU", AVERAGE(C151:C157))</f>
        <v/>
      </c>
      <c r="M157" s="69">
        <f>IF(OR(L157="CHƯA ĐỦ DỮ LIỆU", L150="CHƯA ĐỦ DỮ LIỆU"), "-", IF(AND(ISNUMBER(L157), ISNUMBER(L150)), L157-L150, "-"))</f>
        <v/>
      </c>
      <c r="N157" s="70">
        <f>IF(C157="", "", MAX(0, 55-C157))</f>
        <v/>
      </c>
      <c r="O157" s="70">
        <f>IF(C157="", "", MAX(0, 60-C157))</f>
        <v/>
      </c>
      <c r="P157" s="70">
        <f>IF(C157="", "", MAX(0, 65-C157))</f>
        <v/>
      </c>
      <c r="Q157" s="9">
        <f>IF(C157="", "", IF(C157&gt;50.3, "Đang tăng", IF(C157=50.3, "Baseline 19/10", "Đang giảm")))</f>
        <v/>
      </c>
      <c r="R157" s="58" t="n"/>
    </row>
    <row r="158" ht="22" customHeight="1">
      <c r="A158" s="61" t="n">
        <v>46468</v>
      </c>
      <c r="B158" s="9">
        <f>TEXT(A158, "dddd")</f>
        <v/>
      </c>
      <c r="C158" s="65" t="n"/>
      <c r="D158" s="67" t="n"/>
      <c r="E158" s="67" t="n"/>
      <c r="F158" s="67" t="n"/>
      <c r="G158" s="67" t="n"/>
      <c r="H158" s="67" t="n"/>
      <c r="I158" s="7" t="n"/>
      <c r="J158" s="7" t="n"/>
      <c r="K158" s="7" t="n"/>
      <c r="L158" s="68">
        <f>IF(COUNT(C152:C158)&lt;4, "CHƯA ĐỦ DỮ LIỆU", AVERAGE(C152:C158))</f>
        <v/>
      </c>
      <c r="M158" s="69">
        <f>IF(OR(L158="CHƯA ĐỦ DỮ LIỆU", L151="CHƯA ĐỦ DỮ LIỆU"), "-", IF(AND(ISNUMBER(L158), ISNUMBER(L151)), L158-L151, "-"))</f>
        <v/>
      </c>
      <c r="N158" s="70">
        <f>IF(C158="", "", MAX(0, 55-C158))</f>
        <v/>
      </c>
      <c r="O158" s="70">
        <f>IF(C158="", "", MAX(0, 60-C158))</f>
        <v/>
      </c>
      <c r="P158" s="70">
        <f>IF(C158="", "", MAX(0, 65-C158))</f>
        <v/>
      </c>
      <c r="Q158" s="9">
        <f>IF(C158="", "", IF(C158&gt;50.3, "Đang tăng", IF(C158=50.3, "Baseline 19/10", "Đang giảm")))</f>
        <v/>
      </c>
      <c r="R158" s="58" t="n"/>
    </row>
    <row r="159" ht="22" customHeight="1">
      <c r="A159" s="61" t="n">
        <v>46469</v>
      </c>
      <c r="B159" s="9">
        <f>TEXT(A159, "dddd")</f>
        <v/>
      </c>
      <c r="C159" s="65" t="n"/>
      <c r="D159" s="67" t="n"/>
      <c r="E159" s="67" t="n"/>
      <c r="F159" s="67" t="n"/>
      <c r="G159" s="67" t="n"/>
      <c r="H159" s="67" t="n"/>
      <c r="I159" s="7" t="n"/>
      <c r="J159" s="7" t="n"/>
      <c r="K159" s="7" t="n"/>
      <c r="L159" s="68">
        <f>IF(COUNT(C153:C159)&lt;4, "CHƯA ĐỦ DỮ LIỆU", AVERAGE(C153:C159))</f>
        <v/>
      </c>
      <c r="M159" s="69">
        <f>IF(OR(L159="CHƯA ĐỦ DỮ LIỆU", L152="CHƯA ĐỦ DỮ LIỆU"), "-", IF(AND(ISNUMBER(L159), ISNUMBER(L152)), L159-L152, "-"))</f>
        <v/>
      </c>
      <c r="N159" s="70">
        <f>IF(C159="", "", MAX(0, 55-C159))</f>
        <v/>
      </c>
      <c r="O159" s="70">
        <f>IF(C159="", "", MAX(0, 60-C159))</f>
        <v/>
      </c>
      <c r="P159" s="70">
        <f>IF(C159="", "", MAX(0, 65-C159))</f>
        <v/>
      </c>
      <c r="Q159" s="9">
        <f>IF(C159="", "", IF(C159&gt;50.3, "Đang tăng", IF(C159=50.3, "Baseline 19/10", "Đang giảm")))</f>
        <v/>
      </c>
      <c r="R159" s="58" t="n"/>
    </row>
    <row r="160" ht="22" customHeight="1">
      <c r="A160" s="61" t="n">
        <v>46470</v>
      </c>
      <c r="B160" s="9">
        <f>TEXT(A160, "dddd")</f>
        <v/>
      </c>
      <c r="C160" s="65" t="n"/>
      <c r="D160" s="67" t="n"/>
      <c r="E160" s="67" t="n"/>
      <c r="F160" s="67" t="n"/>
      <c r="G160" s="67" t="n"/>
      <c r="H160" s="67" t="n"/>
      <c r="I160" s="7" t="n"/>
      <c r="J160" s="7" t="n"/>
      <c r="K160" s="7" t="n"/>
      <c r="L160" s="68">
        <f>IF(COUNT(C154:C160)&lt;4, "CHƯA ĐỦ DỮ LIỆU", AVERAGE(C154:C160))</f>
        <v/>
      </c>
      <c r="M160" s="69">
        <f>IF(OR(L160="CHƯA ĐỦ DỮ LIỆU", L153="CHƯA ĐỦ DỮ LIỆU"), "-", IF(AND(ISNUMBER(L160), ISNUMBER(L153)), L160-L153, "-"))</f>
        <v/>
      </c>
      <c r="N160" s="70">
        <f>IF(C160="", "", MAX(0, 55-C160))</f>
        <v/>
      </c>
      <c r="O160" s="70">
        <f>IF(C160="", "", MAX(0, 60-C160))</f>
        <v/>
      </c>
      <c r="P160" s="70">
        <f>IF(C160="", "", MAX(0, 65-C160))</f>
        <v/>
      </c>
      <c r="Q160" s="9">
        <f>IF(C160="", "", IF(C160&gt;50.3, "Đang tăng", IF(C160=50.3, "Baseline 19/10", "Đang giảm")))</f>
        <v/>
      </c>
      <c r="R160" s="58" t="n"/>
    </row>
    <row r="161" ht="22" customHeight="1">
      <c r="A161" s="61" t="n">
        <v>46471</v>
      </c>
      <c r="B161" s="9">
        <f>TEXT(A161, "dddd")</f>
        <v/>
      </c>
      <c r="C161" s="65" t="n"/>
      <c r="D161" s="67" t="n"/>
      <c r="E161" s="67" t="n"/>
      <c r="F161" s="67" t="n"/>
      <c r="G161" s="67" t="n"/>
      <c r="H161" s="67" t="n"/>
      <c r="I161" s="7" t="n"/>
      <c r="J161" s="7" t="n"/>
      <c r="K161" s="7" t="n"/>
      <c r="L161" s="68">
        <f>IF(COUNT(C155:C161)&lt;4, "CHƯA ĐỦ DỮ LIỆU", AVERAGE(C155:C161))</f>
        <v/>
      </c>
      <c r="M161" s="69">
        <f>IF(OR(L161="CHƯA ĐỦ DỮ LIỆU", L154="CHƯA ĐỦ DỮ LIỆU"), "-", IF(AND(ISNUMBER(L161), ISNUMBER(L154)), L161-L154, "-"))</f>
        <v/>
      </c>
      <c r="N161" s="70">
        <f>IF(C161="", "", MAX(0, 55-C161))</f>
        <v/>
      </c>
      <c r="O161" s="70">
        <f>IF(C161="", "", MAX(0, 60-C161))</f>
        <v/>
      </c>
      <c r="P161" s="70">
        <f>IF(C161="", "", MAX(0, 65-C161))</f>
        <v/>
      </c>
      <c r="Q161" s="9">
        <f>IF(C161="", "", IF(C161&gt;50.3, "Đang tăng", IF(C161=50.3, "Baseline 19/10", "Đang giảm")))</f>
        <v/>
      </c>
      <c r="R161" s="58" t="n"/>
    </row>
    <row r="162" ht="22" customHeight="1">
      <c r="A162" s="61" t="n">
        <v>46472</v>
      </c>
      <c r="B162" s="9">
        <f>TEXT(A162, "dddd")</f>
        <v/>
      </c>
      <c r="C162" s="65" t="n"/>
      <c r="D162" s="67" t="n"/>
      <c r="E162" s="67" t="n"/>
      <c r="F162" s="67" t="n"/>
      <c r="G162" s="67" t="n"/>
      <c r="H162" s="67" t="n"/>
      <c r="I162" s="7" t="n"/>
      <c r="J162" s="7" t="n"/>
      <c r="K162" s="7" t="n"/>
      <c r="L162" s="68">
        <f>IF(COUNT(C156:C162)&lt;4, "CHƯA ĐỦ DỮ LIỆU", AVERAGE(C156:C162))</f>
        <v/>
      </c>
      <c r="M162" s="69">
        <f>IF(OR(L162="CHƯA ĐỦ DỮ LIỆU", L155="CHƯA ĐỦ DỮ LIỆU"), "-", IF(AND(ISNUMBER(L162), ISNUMBER(L155)), L162-L155, "-"))</f>
        <v/>
      </c>
      <c r="N162" s="70">
        <f>IF(C162="", "", MAX(0, 55-C162))</f>
        <v/>
      </c>
      <c r="O162" s="70">
        <f>IF(C162="", "", MAX(0, 60-C162))</f>
        <v/>
      </c>
      <c r="P162" s="70">
        <f>IF(C162="", "", MAX(0, 65-C162))</f>
        <v/>
      </c>
      <c r="Q162" s="9">
        <f>IF(C162="", "", IF(C162&gt;50.3, "Đang tăng", IF(C162=50.3, "Baseline 19/10", "Đang giảm")))</f>
        <v/>
      </c>
      <c r="R162" s="58" t="n"/>
    </row>
    <row r="163" ht="22" customHeight="1">
      <c r="A163" s="61" t="n">
        <v>46473</v>
      </c>
      <c r="B163" s="9">
        <f>TEXT(A163, "dddd")</f>
        <v/>
      </c>
      <c r="C163" s="65" t="n"/>
      <c r="D163" s="67" t="n"/>
      <c r="E163" s="67" t="n"/>
      <c r="F163" s="67" t="n"/>
      <c r="G163" s="67" t="n"/>
      <c r="H163" s="67" t="n"/>
      <c r="I163" s="7" t="n"/>
      <c r="J163" s="7" t="n"/>
      <c r="K163" s="7" t="n"/>
      <c r="L163" s="68">
        <f>IF(COUNT(C157:C163)&lt;4, "CHƯA ĐỦ DỮ LIỆU", AVERAGE(C157:C163))</f>
        <v/>
      </c>
      <c r="M163" s="69">
        <f>IF(OR(L163="CHƯA ĐỦ DỮ LIỆU", L156="CHƯA ĐỦ DỮ LIỆU"), "-", IF(AND(ISNUMBER(L163), ISNUMBER(L156)), L163-L156, "-"))</f>
        <v/>
      </c>
      <c r="N163" s="70">
        <f>IF(C163="", "", MAX(0, 55-C163))</f>
        <v/>
      </c>
      <c r="O163" s="70">
        <f>IF(C163="", "", MAX(0, 60-C163))</f>
        <v/>
      </c>
      <c r="P163" s="70">
        <f>IF(C163="", "", MAX(0, 65-C163))</f>
        <v/>
      </c>
      <c r="Q163" s="9">
        <f>IF(C163="", "", IF(C163&gt;50.3, "Đang tăng", IF(C163=50.3, "Baseline 19/10", "Đang giảm")))</f>
        <v/>
      </c>
      <c r="R163" s="58" t="n"/>
    </row>
    <row r="164" ht="22" customHeight="1">
      <c r="A164" s="61" t="n">
        <v>46474</v>
      </c>
      <c r="B164" s="9">
        <f>TEXT(A164, "dddd")</f>
        <v/>
      </c>
      <c r="C164" s="65" t="n"/>
      <c r="D164" s="67" t="n"/>
      <c r="E164" s="67" t="n"/>
      <c r="F164" s="67" t="n"/>
      <c r="G164" s="67" t="n"/>
      <c r="H164" s="67" t="n"/>
      <c r="I164" s="7" t="n"/>
      <c r="J164" s="7" t="n"/>
      <c r="K164" s="7" t="n"/>
      <c r="L164" s="68">
        <f>IF(COUNT(C158:C164)&lt;4, "CHƯA ĐỦ DỮ LIỆU", AVERAGE(C158:C164))</f>
        <v/>
      </c>
      <c r="M164" s="69">
        <f>IF(OR(L164="CHƯA ĐỦ DỮ LIỆU", L157="CHƯA ĐỦ DỮ LIỆU"), "-", IF(AND(ISNUMBER(L164), ISNUMBER(L157)), L164-L157, "-"))</f>
        <v/>
      </c>
      <c r="N164" s="70">
        <f>IF(C164="", "", MAX(0, 55-C164))</f>
        <v/>
      </c>
      <c r="O164" s="70">
        <f>IF(C164="", "", MAX(0, 60-C164))</f>
        <v/>
      </c>
      <c r="P164" s="70">
        <f>IF(C164="", "", MAX(0, 65-C164))</f>
        <v/>
      </c>
      <c r="Q164" s="9">
        <f>IF(C164="", "", IF(C164&gt;50.3, "Đang tăng", IF(C164=50.3, "Baseline 19/10", "Đang giảm")))</f>
        <v/>
      </c>
      <c r="R164" s="58" t="n"/>
    </row>
    <row r="165" ht="22" customHeight="1">
      <c r="A165" s="61" t="n">
        <v>46475</v>
      </c>
      <c r="B165" s="9">
        <f>TEXT(A165, "dddd")</f>
        <v/>
      </c>
      <c r="C165" s="65" t="n"/>
      <c r="D165" s="67" t="n"/>
      <c r="E165" s="67" t="n"/>
      <c r="F165" s="67" t="n"/>
      <c r="G165" s="67" t="n"/>
      <c r="H165" s="67" t="n"/>
      <c r="I165" s="7" t="n"/>
      <c r="J165" s="7" t="n"/>
      <c r="K165" s="7" t="n"/>
      <c r="L165" s="68">
        <f>IF(COUNT(C159:C165)&lt;4, "CHƯA ĐỦ DỮ LIỆU", AVERAGE(C159:C165))</f>
        <v/>
      </c>
      <c r="M165" s="69">
        <f>IF(OR(L165="CHƯA ĐỦ DỮ LIỆU", L158="CHƯA ĐỦ DỮ LIỆU"), "-", IF(AND(ISNUMBER(L165), ISNUMBER(L158)), L165-L158, "-"))</f>
        <v/>
      </c>
      <c r="N165" s="70">
        <f>IF(C165="", "", MAX(0, 55-C165))</f>
        <v/>
      </c>
      <c r="O165" s="70">
        <f>IF(C165="", "", MAX(0, 60-C165))</f>
        <v/>
      </c>
      <c r="P165" s="70">
        <f>IF(C165="", "", MAX(0, 65-C165))</f>
        <v/>
      </c>
      <c r="Q165" s="9">
        <f>IF(C165="", "", IF(C165&gt;50.3, "Đang tăng", IF(C165=50.3, "Baseline 19/10", "Đang giảm")))</f>
        <v/>
      </c>
      <c r="R165" s="58" t="n"/>
    </row>
    <row r="166" ht="22" customHeight="1">
      <c r="A166" s="61" t="n">
        <v>46476</v>
      </c>
      <c r="B166" s="9">
        <f>TEXT(A166, "dddd")</f>
        <v/>
      </c>
      <c r="C166" s="65" t="n"/>
      <c r="D166" s="67" t="n"/>
      <c r="E166" s="67" t="n"/>
      <c r="F166" s="67" t="n"/>
      <c r="G166" s="67" t="n"/>
      <c r="H166" s="67" t="n"/>
      <c r="I166" s="7" t="n"/>
      <c r="J166" s="7" t="n"/>
      <c r="K166" s="7" t="n"/>
      <c r="L166" s="68">
        <f>IF(COUNT(C160:C166)&lt;4, "CHƯA ĐỦ DỮ LIỆU", AVERAGE(C160:C166))</f>
        <v/>
      </c>
      <c r="M166" s="69">
        <f>IF(OR(L166="CHƯA ĐỦ DỮ LIỆU", L159="CHƯA ĐỦ DỮ LIỆU"), "-", IF(AND(ISNUMBER(L166), ISNUMBER(L159)), L166-L159, "-"))</f>
        <v/>
      </c>
      <c r="N166" s="70">
        <f>IF(C166="", "", MAX(0, 55-C166))</f>
        <v/>
      </c>
      <c r="O166" s="70">
        <f>IF(C166="", "", MAX(0, 60-C166))</f>
        <v/>
      </c>
      <c r="P166" s="70">
        <f>IF(C166="", "", MAX(0, 65-C166))</f>
        <v/>
      </c>
      <c r="Q166" s="9">
        <f>IF(C166="", "", IF(C166&gt;50.3, "Đang tăng", IF(C166=50.3, "Baseline 19/10", "Đang giảm")))</f>
        <v/>
      </c>
      <c r="R166" s="58" t="n"/>
    </row>
    <row r="167" ht="22" customHeight="1">
      <c r="A167" s="61" t="n">
        <v>46477</v>
      </c>
      <c r="B167" s="9">
        <f>TEXT(A167, "dddd")</f>
        <v/>
      </c>
      <c r="C167" s="65" t="n"/>
      <c r="D167" s="67" t="n"/>
      <c r="E167" s="67" t="n"/>
      <c r="F167" s="67" t="n"/>
      <c r="G167" s="67" t="n"/>
      <c r="H167" s="67" t="n"/>
      <c r="I167" s="7" t="n"/>
      <c r="J167" s="7" t="n"/>
      <c r="K167" s="7" t="n"/>
      <c r="L167" s="68">
        <f>IF(COUNT(C161:C167)&lt;4, "CHƯA ĐỦ DỮ LIỆU", AVERAGE(C161:C167))</f>
        <v/>
      </c>
      <c r="M167" s="69">
        <f>IF(OR(L167="CHƯA ĐỦ DỮ LIỆU", L160="CHƯA ĐỦ DỮ LIỆU"), "-", IF(AND(ISNUMBER(L167), ISNUMBER(L160)), L167-L160, "-"))</f>
        <v/>
      </c>
      <c r="N167" s="70">
        <f>IF(C167="", "", MAX(0, 55-C167))</f>
        <v/>
      </c>
      <c r="O167" s="70">
        <f>IF(C167="", "", MAX(0, 60-C167))</f>
        <v/>
      </c>
      <c r="P167" s="70">
        <f>IF(C167="", "", MAX(0, 65-C167))</f>
        <v/>
      </c>
      <c r="Q167" s="9">
        <f>IF(C167="", "", IF(C167&gt;50.3, "Đang tăng", IF(C167=50.3, "Baseline 19/10", "Đang giảm")))</f>
        <v/>
      </c>
      <c r="R167" s="58" t="n"/>
    </row>
    <row r="168" ht="22" customHeight="1">
      <c r="A168" s="61" t="n">
        <v>46478</v>
      </c>
      <c r="B168" s="9">
        <f>TEXT(A168, "dddd")</f>
        <v/>
      </c>
      <c r="C168" s="65" t="n"/>
      <c r="D168" s="67" t="n"/>
      <c r="E168" s="67" t="n"/>
      <c r="F168" s="67" t="n"/>
      <c r="G168" s="67" t="n"/>
      <c r="H168" s="67" t="n"/>
      <c r="I168" s="7" t="n"/>
      <c r="J168" s="7" t="n"/>
      <c r="K168" s="7" t="n"/>
      <c r="L168" s="68">
        <f>IF(COUNT(C162:C168)&lt;4, "CHƯA ĐỦ DỮ LIỆU", AVERAGE(C162:C168))</f>
        <v/>
      </c>
      <c r="M168" s="69">
        <f>IF(OR(L168="CHƯA ĐỦ DỮ LIỆU", L161="CHƯA ĐỦ DỮ LIỆU"), "-", IF(AND(ISNUMBER(L168), ISNUMBER(L161)), L168-L161, "-"))</f>
        <v/>
      </c>
      <c r="N168" s="70">
        <f>IF(C168="", "", MAX(0, 55-C168))</f>
        <v/>
      </c>
      <c r="O168" s="70">
        <f>IF(C168="", "", MAX(0, 60-C168))</f>
        <v/>
      </c>
      <c r="P168" s="70">
        <f>IF(C168="", "", MAX(0, 65-C168))</f>
        <v/>
      </c>
      <c r="Q168" s="9">
        <f>IF(C168="", "", IF(C168&gt;50.3, "Đang tăng", IF(C168=50.3, "Baseline 19/10", "Đang giảm")))</f>
        <v/>
      </c>
      <c r="R168" s="58" t="n"/>
    </row>
    <row r="169" ht="22" customHeight="1">
      <c r="A169" s="61" t="n">
        <v>46479</v>
      </c>
      <c r="B169" s="9">
        <f>TEXT(A169, "dddd")</f>
        <v/>
      </c>
      <c r="C169" s="65" t="n"/>
      <c r="D169" s="67" t="n"/>
      <c r="E169" s="67" t="n"/>
      <c r="F169" s="67" t="n"/>
      <c r="G169" s="67" t="n"/>
      <c r="H169" s="67" t="n"/>
      <c r="I169" s="7" t="n"/>
      <c r="J169" s="7" t="n"/>
      <c r="K169" s="7" t="n"/>
      <c r="L169" s="68">
        <f>IF(COUNT(C163:C169)&lt;4, "CHƯA ĐỦ DỮ LIỆU", AVERAGE(C163:C169))</f>
        <v/>
      </c>
      <c r="M169" s="69">
        <f>IF(OR(L169="CHƯA ĐỦ DỮ LIỆU", L162="CHƯA ĐỦ DỮ LIỆU"), "-", IF(AND(ISNUMBER(L169), ISNUMBER(L162)), L169-L162, "-"))</f>
        <v/>
      </c>
      <c r="N169" s="70">
        <f>IF(C169="", "", MAX(0, 55-C169))</f>
        <v/>
      </c>
      <c r="O169" s="70">
        <f>IF(C169="", "", MAX(0, 60-C169))</f>
        <v/>
      </c>
      <c r="P169" s="70">
        <f>IF(C169="", "", MAX(0, 65-C169))</f>
        <v/>
      </c>
      <c r="Q169" s="9">
        <f>IF(C169="", "", IF(C169&gt;50.3, "Đang tăng", IF(C169=50.3, "Baseline 19/10", "Đang giảm")))</f>
        <v/>
      </c>
      <c r="R169" s="58" t="n"/>
    </row>
    <row r="170" ht="22" customHeight="1">
      <c r="A170" s="61" t="n">
        <v>46480</v>
      </c>
      <c r="B170" s="9">
        <f>TEXT(A170, "dddd")</f>
        <v/>
      </c>
      <c r="C170" s="65" t="n"/>
      <c r="D170" s="67" t="n"/>
      <c r="E170" s="67" t="n"/>
      <c r="F170" s="67" t="n"/>
      <c r="G170" s="67" t="n"/>
      <c r="H170" s="67" t="n"/>
      <c r="I170" s="7" t="n"/>
      <c r="J170" s="7" t="n"/>
      <c r="K170" s="7" t="n"/>
      <c r="L170" s="68">
        <f>IF(COUNT(C164:C170)&lt;4, "CHƯA ĐỦ DỮ LIỆU", AVERAGE(C164:C170))</f>
        <v/>
      </c>
      <c r="M170" s="69">
        <f>IF(OR(L170="CHƯA ĐỦ DỮ LIỆU", L163="CHƯA ĐỦ DỮ LIỆU"), "-", IF(AND(ISNUMBER(L170), ISNUMBER(L163)), L170-L163, "-"))</f>
        <v/>
      </c>
      <c r="N170" s="70">
        <f>IF(C170="", "", MAX(0, 55-C170))</f>
        <v/>
      </c>
      <c r="O170" s="70">
        <f>IF(C170="", "", MAX(0, 60-C170))</f>
        <v/>
      </c>
      <c r="P170" s="70">
        <f>IF(C170="", "", MAX(0, 65-C170))</f>
        <v/>
      </c>
      <c r="Q170" s="9">
        <f>IF(C170="", "", IF(C170&gt;50.3, "Đang tăng", IF(C170=50.3, "Baseline 19/10", "Đang giảm")))</f>
        <v/>
      </c>
      <c r="R170" s="58" t="n"/>
    </row>
    <row r="171" ht="22" customHeight="1">
      <c r="A171" s="61" t="n">
        <v>46481</v>
      </c>
      <c r="B171" s="9">
        <f>TEXT(A171, "dddd")</f>
        <v/>
      </c>
      <c r="C171" s="65" t="n"/>
      <c r="D171" s="67" t="n"/>
      <c r="E171" s="67" t="n"/>
      <c r="F171" s="67" t="n"/>
      <c r="G171" s="67" t="n"/>
      <c r="H171" s="67" t="n"/>
      <c r="I171" s="7" t="n"/>
      <c r="J171" s="7" t="n"/>
      <c r="K171" s="7" t="n"/>
      <c r="L171" s="68">
        <f>IF(COUNT(C165:C171)&lt;4, "CHƯA ĐỦ DỮ LIỆU", AVERAGE(C165:C171))</f>
        <v/>
      </c>
      <c r="M171" s="69">
        <f>IF(OR(L171="CHƯA ĐỦ DỮ LIỆU", L164="CHƯA ĐỦ DỮ LIỆU"), "-", IF(AND(ISNUMBER(L171), ISNUMBER(L164)), L171-L164, "-"))</f>
        <v/>
      </c>
      <c r="N171" s="70">
        <f>IF(C171="", "", MAX(0, 55-C171))</f>
        <v/>
      </c>
      <c r="O171" s="70">
        <f>IF(C171="", "", MAX(0, 60-C171))</f>
        <v/>
      </c>
      <c r="P171" s="70">
        <f>IF(C171="", "", MAX(0, 65-C171))</f>
        <v/>
      </c>
      <c r="Q171" s="9">
        <f>IF(C171="", "", IF(C171&gt;50.3, "Đang tăng", IF(C171=50.3, "Baseline 19/10", "Đang giảm")))</f>
        <v/>
      </c>
      <c r="R171" s="58" t="n"/>
    </row>
  </sheetData>
  <mergeCells count="2">
    <mergeCell ref="A2:R2"/>
    <mergeCell ref="A1:R1"/>
  </mergeCells>
  <dataValidations count="1">
    <dataValidation sqref="J4:K171" showDropDown="0" showInputMessage="0" showErrorMessage="0" allowBlank="1" type="list">
      <formula1>='14_SETTINGS_VALIDATION'!$L$4:$L$8</formula1>
    </dataValidation>
  </dataValidations>
  <pageMargins left="0.75" right="0.75" top="1" bottom="1" header="0.5" footer="0.5"/>
</worksheet>
</file>

<file path=xl/worksheets/sheet12.xml><?xml version="1.0" encoding="utf-8"?>
<worksheet xmlns="http://schemas.openxmlformats.org/spreadsheetml/2006/main">
  <sheetPr>
    <tabColor rgb="003B82F6"/>
    <outlinePr summaryBelow="1" summaryRight="1"/>
    <pageSetUpPr/>
  </sheetPr>
  <dimension ref="A1:Q12"/>
  <sheetViews>
    <sheetView showGridLines="1"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4" customWidth="1" min="2" max="2"/>
    <col width="16" customWidth="1" min="3" max="3"/>
    <col width="12" customWidth="1" min="4" max="4"/>
    <col width="16" customWidth="1" min="5" max="5"/>
    <col width="16" customWidth="1" min="6" max="6"/>
    <col width="14" customWidth="1" min="7" max="7"/>
    <col width="16" customWidth="1" min="8" max="8"/>
    <col width="14" customWidth="1" min="9" max="9"/>
    <col width="16" customWidth="1" min="10" max="10"/>
    <col width="16" customWidth="1" min="11" max="11"/>
    <col width="16" customWidth="1" min="12" max="12"/>
    <col width="14" customWidth="1" min="13" max="13"/>
    <col width="14" customWidth="1" min="14" max="14"/>
    <col width="14" customWidth="1" min="15" max="15"/>
    <col width="25" customWidth="1" min="16" max="16"/>
    <col width="30" customWidth="1" min="17" max="17"/>
  </cols>
  <sheetData>
    <row r="1" ht="36" customHeight="1">
      <c r="A1" s="1" t="inlineStr">
        <is>
          <t>LỊCH SỬ ĐO INBODY ĐỊNH KỲ (INBODY COMPOSITION HISTORY)</t>
        </is>
      </c>
    </row>
    <row r="2" ht="22" customHeight="1">
      <c r="A2" s="64" t="inlineStr">
        <is>
          <t>Lưu ý khoa học: Máy InBody có sai số đo điện trở sinh học. Đo định kỳ mỗi 4 - 8 tuần, trong CÙNG ĐIỀU KIỆN (buổi sáng, nhịn ăn, trước tập, sau khi đi vệ sinh) để biểu đồ xu hướng có ý nghĩa nhất!</t>
        </is>
      </c>
    </row>
    <row r="3" ht="26" customHeight="1">
      <c r="A3" s="36" t="inlineStr">
        <is>
          <t>Lần Đo</t>
        </is>
      </c>
      <c r="B3" s="36" t="inlineStr">
        <is>
          <t>Ngày Đo</t>
        </is>
      </c>
      <c r="C3" s="36" t="inlineStr">
        <is>
          <t>Cân Nặng (kg)</t>
        </is>
      </c>
      <c r="D3" s="36" t="inlineStr">
        <is>
          <t>BMI</t>
        </is>
      </c>
      <c r="E3" s="36" t="inlineStr">
        <is>
          <t>Cơ SMM (kg)</t>
        </is>
      </c>
      <c r="F3" s="36" t="inlineStr">
        <is>
          <t>Mỡ Fat (kg)</t>
        </is>
      </c>
      <c r="G3" s="36" t="inlineStr">
        <is>
          <t>PBF (%)</t>
        </is>
      </c>
      <c r="H3" s="36" t="inlineStr">
        <is>
          <t>Nước TBW (L)</t>
        </is>
      </c>
      <c r="I3" s="36" t="inlineStr">
        <is>
          <t>Protein (kg)</t>
        </is>
      </c>
      <c r="J3" s="36" t="inlineStr">
        <is>
          <t>Khoáng (kg)</t>
        </is>
      </c>
      <c r="K3" s="36" t="inlineStr">
        <is>
          <t>FFM (kg)</t>
        </is>
      </c>
      <c r="L3" s="36" t="inlineStr">
        <is>
          <t>BMR (kcal)</t>
        </is>
      </c>
      <c r="M3" s="36" t="inlineStr">
        <is>
          <t>Mỡ Nội Tạng</t>
        </is>
      </c>
      <c r="N3" s="36" t="inlineStr">
        <is>
          <t>Tỷ Số WHR</t>
        </is>
      </c>
      <c r="O3" s="36" t="inlineStr">
        <is>
          <t>InBody Score</t>
        </is>
      </c>
      <c r="P3" s="36" t="inlineStr">
        <is>
          <t>Điều Kiện Đo</t>
        </is>
      </c>
      <c r="Q3" s="36" t="inlineStr">
        <is>
          <t>Ghi Chú Đánh Giá</t>
        </is>
      </c>
    </row>
    <row r="4" ht="24" customHeight="1">
      <c r="A4" s="14" t="inlineStr">
        <is>
          <t>Lần 1 (Baseline)</t>
        </is>
      </c>
      <c r="B4" s="71" t="n">
        <v>46314</v>
      </c>
      <c r="C4" s="47" t="n">
        <v>50.3</v>
      </c>
      <c r="D4" s="24" t="n">
        <v>16.4</v>
      </c>
      <c r="E4" s="47" t="n">
        <v>25.7</v>
      </c>
      <c r="F4" s="47" t="n">
        <v>3.9</v>
      </c>
      <c r="G4" s="72" t="n">
        <v>0.078</v>
      </c>
      <c r="H4" s="38" t="n">
        <v>34.1</v>
      </c>
      <c r="I4" s="39" t="n">
        <v>9.199999999999999</v>
      </c>
      <c r="J4" s="39" t="n">
        <v>3.06</v>
      </c>
      <c r="K4" s="39" t="n">
        <v>46.4</v>
      </c>
      <c r="L4" s="73" t="n">
        <v>1371</v>
      </c>
      <c r="M4" s="24" t="n">
        <v>1</v>
      </c>
      <c r="N4" s="24" t="n">
        <v>0.83</v>
      </c>
      <c r="O4" s="24" t="n">
        <v>63</v>
      </c>
      <c r="P4" s="38" t="inlineStr">
        <is>
          <t>Buổi sáng, nhịn ăn, tại phòng gym</t>
        </is>
      </c>
      <c r="Q4" s="38" t="inlineStr">
        <is>
          <t>Baseline khởi đầu. BMI 16.4 thiếu cân, PBF 7.8% rất thấp. Mục tiêu dài hạn tăng SMM lên &gt;30kg.</t>
        </is>
      </c>
    </row>
    <row r="5" ht="22" customHeight="1">
      <c r="A5" s="14" t="inlineStr">
        <is>
          <t>Lần 2</t>
        </is>
      </c>
      <c r="B5" s="57" t="n"/>
      <c r="C5" s="74" t="n"/>
      <c r="D5" s="7" t="n"/>
      <c r="E5" s="74" t="n"/>
      <c r="F5" s="74" t="n"/>
      <c r="G5" s="75" t="n"/>
      <c r="H5" s="74" t="n"/>
      <c r="I5" s="74" t="n"/>
      <c r="J5" s="74" t="n"/>
      <c r="K5" s="74" t="n"/>
      <c r="L5" s="76" t="n"/>
      <c r="M5" s="7" t="n"/>
      <c r="N5" s="7" t="n"/>
      <c r="O5" s="7" t="n"/>
      <c r="P5" s="58" t="n"/>
      <c r="Q5" s="58" t="n"/>
    </row>
    <row r="6" ht="22" customHeight="1">
      <c r="A6" s="14" t="inlineStr">
        <is>
          <t>Lần 3</t>
        </is>
      </c>
      <c r="B6" s="57" t="n"/>
      <c r="C6" s="74" t="n"/>
      <c r="D6" s="7" t="n"/>
      <c r="E6" s="74" t="n"/>
      <c r="F6" s="74" t="n"/>
      <c r="G6" s="75" t="n"/>
      <c r="H6" s="74" t="n"/>
      <c r="I6" s="74" t="n"/>
      <c r="J6" s="74" t="n"/>
      <c r="K6" s="74" t="n"/>
      <c r="L6" s="76" t="n"/>
      <c r="M6" s="7" t="n"/>
      <c r="N6" s="7" t="n"/>
      <c r="O6" s="7" t="n"/>
      <c r="P6" s="58" t="n"/>
      <c r="Q6" s="58" t="n"/>
    </row>
    <row r="7" ht="22" customHeight="1">
      <c r="A7" s="14" t="inlineStr">
        <is>
          <t>Lần 4</t>
        </is>
      </c>
      <c r="B7" s="57" t="n"/>
      <c r="C7" s="74" t="n"/>
      <c r="D7" s="7" t="n"/>
      <c r="E7" s="74" t="n"/>
      <c r="F7" s="74" t="n"/>
      <c r="G7" s="75" t="n"/>
      <c r="H7" s="74" t="n"/>
      <c r="I7" s="74" t="n"/>
      <c r="J7" s="74" t="n"/>
      <c r="K7" s="74" t="n"/>
      <c r="L7" s="76" t="n"/>
      <c r="M7" s="7" t="n"/>
      <c r="N7" s="7" t="n"/>
      <c r="O7" s="7" t="n"/>
      <c r="P7" s="58" t="n"/>
      <c r="Q7" s="58" t="n"/>
    </row>
    <row r="8" ht="22" customHeight="1">
      <c r="A8" s="14" t="inlineStr">
        <is>
          <t>Lần 5</t>
        </is>
      </c>
      <c r="B8" s="57" t="n"/>
      <c r="C8" s="74" t="n"/>
      <c r="D8" s="7" t="n"/>
      <c r="E8" s="74" t="n"/>
      <c r="F8" s="74" t="n"/>
      <c r="G8" s="75" t="n"/>
      <c r="H8" s="74" t="n"/>
      <c r="I8" s="74" t="n"/>
      <c r="J8" s="74" t="n"/>
      <c r="K8" s="74" t="n"/>
      <c r="L8" s="76" t="n"/>
      <c r="M8" s="7" t="n"/>
      <c r="N8" s="7" t="n"/>
      <c r="O8" s="7" t="n"/>
      <c r="P8" s="58" t="n"/>
      <c r="Q8" s="58" t="n"/>
    </row>
    <row r="9" ht="22" customHeight="1">
      <c r="A9" s="14" t="inlineStr">
        <is>
          <t>Lần 6</t>
        </is>
      </c>
      <c r="B9" s="57" t="n"/>
      <c r="C9" s="74" t="n"/>
      <c r="D9" s="7" t="n"/>
      <c r="E9" s="74" t="n"/>
      <c r="F9" s="74" t="n"/>
      <c r="G9" s="75" t="n"/>
      <c r="H9" s="74" t="n"/>
      <c r="I9" s="74" t="n"/>
      <c r="J9" s="74" t="n"/>
      <c r="K9" s="74" t="n"/>
      <c r="L9" s="76" t="n"/>
      <c r="M9" s="7" t="n"/>
      <c r="N9" s="7" t="n"/>
      <c r="O9" s="7" t="n"/>
      <c r="P9" s="58" t="n"/>
      <c r="Q9" s="58" t="n"/>
    </row>
    <row r="10" ht="22" customHeight="1">
      <c r="A10" s="14" t="inlineStr">
        <is>
          <t>Lần 7</t>
        </is>
      </c>
      <c r="B10" s="57" t="n"/>
      <c r="C10" s="74" t="n"/>
      <c r="D10" s="7" t="n"/>
      <c r="E10" s="74" t="n"/>
      <c r="F10" s="74" t="n"/>
      <c r="G10" s="75" t="n"/>
      <c r="H10" s="74" t="n"/>
      <c r="I10" s="74" t="n"/>
      <c r="J10" s="74" t="n"/>
      <c r="K10" s="74" t="n"/>
      <c r="L10" s="76" t="n"/>
      <c r="M10" s="7" t="n"/>
      <c r="N10" s="7" t="n"/>
      <c r="O10" s="7" t="n"/>
      <c r="P10" s="58" t="n"/>
      <c r="Q10" s="58" t="n"/>
    </row>
    <row r="11" ht="22" customHeight="1">
      <c r="A11" s="14" t="inlineStr">
        <is>
          <t>Lần 8</t>
        </is>
      </c>
      <c r="B11" s="57" t="n"/>
      <c r="C11" s="74" t="n"/>
      <c r="D11" s="7" t="n"/>
      <c r="E11" s="74" t="n"/>
      <c r="F11" s="74" t="n"/>
      <c r="G11" s="75" t="n"/>
      <c r="H11" s="74" t="n"/>
      <c r="I11" s="74" t="n"/>
      <c r="J11" s="74" t="n"/>
      <c r="K11" s="74" t="n"/>
      <c r="L11" s="76" t="n"/>
      <c r="M11" s="7" t="n"/>
      <c r="N11" s="7" t="n"/>
      <c r="O11" s="7" t="n"/>
      <c r="P11" s="58" t="n"/>
      <c r="Q11" s="58" t="n"/>
    </row>
    <row r="12" ht="22" customHeight="1">
      <c r="A12" s="14" t="inlineStr">
        <is>
          <t>Lần 9</t>
        </is>
      </c>
      <c r="B12" s="57" t="n"/>
      <c r="C12" s="74" t="n"/>
      <c r="D12" s="7" t="n"/>
      <c r="E12" s="74" t="n"/>
      <c r="F12" s="74" t="n"/>
      <c r="G12" s="75" t="n"/>
      <c r="H12" s="74" t="n"/>
      <c r="I12" s="74" t="n"/>
      <c r="J12" s="74" t="n"/>
      <c r="K12" s="74" t="n"/>
      <c r="L12" s="76" t="n"/>
      <c r="M12" s="7" t="n"/>
      <c r="N12" s="7" t="n"/>
      <c r="O12" s="7" t="n"/>
      <c r="P12" s="58" t="n"/>
      <c r="Q12" s="58" t="n"/>
    </row>
  </sheetData>
  <mergeCells count="2">
    <mergeCell ref="A2:Q2"/>
    <mergeCell ref="A1:Q1"/>
  </mergeCell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tabColor rgb="00D97706"/>
    <outlinePr summaryBelow="1" summaryRight="1"/>
    <pageSetUpPr/>
  </sheetPr>
  <dimension ref="A1:R35"/>
  <sheetViews>
    <sheetView showGridLines="1"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4" customWidth="1" min="2" max="2"/>
    <col width="14" customWidth="1" min="3" max="3"/>
    <col width="16" customWidth="1" min="4" max="4"/>
    <col width="16" customWidth="1" min="5" max="5"/>
    <col width="14" customWidth="1" min="6" max="6"/>
    <col width="16" customWidth="1" min="7" max="7"/>
    <col width="16" customWidth="1" min="8" max="8"/>
    <col width="14" customWidth="1" min="9" max="9"/>
    <col width="14" customWidth="1" min="10" max="10"/>
    <col width="14" customWidth="1" min="11" max="11"/>
    <col width="14" customWidth="1" min="12" max="12"/>
    <col width="16" customWidth="1" min="13" max="13"/>
    <col width="14" customWidth="1" min="14" max="14"/>
    <col width="28" customWidth="1" min="15" max="15"/>
    <col width="28" customWidth="1" min="16" max="16"/>
    <col width="28" customWidth="1" min="17" max="17"/>
    <col width="30" customWidth="1" min="18" max="18"/>
  </cols>
  <sheetData>
    <row r="1" ht="36" customHeight="1">
      <c r="A1" s="1" t="inlineStr">
        <is>
          <t>BẢNG ĐÁNH GIÁ TIẾN ĐỘ &amp; RA QUYẾT ĐỊNH CHIẾN LƯỢC HẰNG TUẦN (WEEKLY REVIEW)</t>
        </is>
      </c>
    </row>
    <row r="2" ht="22" customHeight="1">
      <c r="A2" s="35" t="inlineStr">
        <is>
          <t>NGUYÊN TẮC QUYẾT ĐỊNH: Nếu Độ tuân thủ ăn uống &lt; 70%, hãy tập trung GHI CHÉP ĐỦ BỮA trước khi tăng calo! Chỉ tăng +150-200 kcal khi đã tuân thủ &gt;= 85% mà cân nặng không tăng 2 tuần liên tiếp.</t>
        </is>
      </c>
    </row>
    <row r="3" ht="26" customHeight="1">
      <c r="A3" s="36" t="inlineStr">
        <is>
          <t>Tuần #</t>
        </is>
      </c>
      <c r="B3" s="36" t="inlineStr">
        <is>
          <t>Từ Ngày</t>
        </is>
      </c>
      <c r="C3" s="36" t="inlineStr">
        <is>
          <t>Đến Ngày</t>
        </is>
      </c>
      <c r="D3" s="36" t="inlineStr">
        <is>
          <t>Cân Nặng TB (kg)</t>
        </is>
      </c>
      <c r="E3" s="36" t="inlineStr">
        <is>
          <t>Delta vs Tuần Trước</t>
        </is>
      </c>
      <c r="F3" s="36" t="inlineStr">
        <is>
          <t>Ngày Ghi Đủ</t>
        </is>
      </c>
      <c r="G3" s="36" t="inlineStr">
        <is>
          <t>Calo TB (Ngày Đủ)</t>
        </is>
      </c>
      <c r="H3" s="36" t="inlineStr">
        <is>
          <t>Protein TB (g)</t>
        </is>
      </c>
      <c r="I3" s="36" t="inlineStr">
        <is>
          <t>% Đạt Calo</t>
        </is>
      </c>
      <c r="J3" s="36" t="inlineStr">
        <is>
          <t>% Đạt Đạm</t>
        </is>
      </c>
      <c r="K3" s="36" t="inlineStr">
        <is>
          <t>Buổi Tập Dự Kiến</t>
        </is>
      </c>
      <c r="L3" s="36" t="inlineStr">
        <is>
          <t>Buổi Hoàn Thành</t>
        </is>
      </c>
      <c r="M3" s="36" t="inlineStr">
        <is>
          <t>% Hoàn Thành Tập</t>
        </is>
      </c>
      <c r="N3" s="36" t="inlineStr">
        <is>
          <t>Giờ Ngủ TB (h)</t>
        </is>
      </c>
      <c r="O3" s="36" t="inlineStr">
        <is>
          <t>Tiến Bộ Tạ &amp; Reps Chính</t>
        </is>
      </c>
      <c r="P3" s="36" t="inlineStr">
        <is>
          <t>Điều Làm Tốt Trong Tuần</t>
        </is>
      </c>
      <c r="Q3" s="36" t="inlineStr">
        <is>
          <t>Khó Khăn &amp; Nguyên Nhân</t>
        </is>
      </c>
      <c r="R3" s="36" t="inlineStr">
        <is>
          <t>Kế Hoạch Điều Chỉnh Tuần Tới</t>
        </is>
      </c>
    </row>
    <row r="4" ht="22" customHeight="1">
      <c r="A4" s="9" t="inlineStr">
        <is>
          <t>Tuần 1</t>
        </is>
      </c>
      <c r="B4" s="61" t="n">
        <v>46314</v>
      </c>
      <c r="C4" s="61" t="n">
        <v>46320</v>
      </c>
      <c r="D4" s="70">
        <f>IFERROR(AVERAGEIFS('10_BODY_WEIGHT_LOG'!$C$4:$C$171, '10_BODY_WEIGHT_LOG'!$A$4:$A$171, "&gt;="&amp;B4, '10_BODY_WEIGHT_LOG'!$A$4:$A$171, "&lt;="&amp;C4), "")</f>
        <v/>
      </c>
      <c r="E4" s="69" t="inlineStr">
        <is>
          <t>-</t>
        </is>
      </c>
      <c r="F4" s="9">
        <f>COUNTIFS('06_DAILY_NUTRITION_LOG'!$N$5:$N$172, "&gt;="&amp;B4, '06_DAILY_NUTRITION_LOG'!$N$5:$N$172, "&lt;="&amp;C4, '06_DAILY_NUTRITION_LOG'!$V$5:$V$172, "COMPLETE*")</f>
        <v/>
      </c>
      <c r="G4" s="62">
        <f>IFERROR(AVERAGEIFS('06_DAILY_NUTRITION_LOG'!$P$5:$P$172, '06_DAILY_NUTRITION_LOG'!$N$5:$N$172, "&gt;="&amp;B4, '06_DAILY_NUTRITION_LOG'!$N$5:$N$172, "&lt;="&amp;C4, '06_DAILY_NUTRITION_LOG'!$V$5:$V$172, "COMPLETE*"), "")</f>
        <v/>
      </c>
      <c r="H4" s="119">
        <f>IFERROR(AVERAGEIFS('06_DAILY_NUTRITION_LOG'!$Q$5:$Q$172, '06_DAILY_NUTRITION_LOG'!$N$5:$N$172, "&gt;="&amp;B4, '06_DAILY_NUTRITION_LOG'!$N$5:$N$172, "&lt;="&amp;C4, '06_DAILY_NUTRITION_LOG'!$V$5:$V$172, "COMPLETE*"), "")</f>
        <v/>
      </c>
      <c r="I4" s="63">
        <f>IF(G4="", "", G4/'02_NUTRITION_SETUP'!$C$20)</f>
        <v/>
      </c>
      <c r="J4" s="63">
        <f>IF(H4="", "", H4/'02_NUTRITION_SETUP'!$C$21)</f>
        <v/>
      </c>
      <c r="K4" s="9" t="n">
        <v>4</v>
      </c>
      <c r="L4" s="120">
        <f>COUNTIFS('09_WORKOUT_LOG'!$N$4:$N$100, "&gt;="&amp;B4, '09_WORKOUT_LOG'!$N$4:$N$100, "&lt;="&amp;C4, '09_WORKOUT_LOG'!$R$4:$R$100, "Hoàn thành*")</f>
        <v/>
      </c>
      <c r="M4" s="63">
        <f>IF(K4="", "", L4/K4)</f>
        <v/>
      </c>
      <c r="N4" s="77">
        <f>IFERROR(AVERAGEIFS('10_BODY_WEIGHT_LOG'!$I$4:$I$171, '10_BODY_WEIGHT_LOG'!$A$4:$A$171, "&gt;="&amp;B4, '10_BODY_WEIGHT_LOG'!$A$4:$A$171, "&lt;="&amp;C4), "")</f>
        <v/>
      </c>
      <c r="O4" s="13" t="n"/>
      <c r="P4" s="13" t="n"/>
      <c r="Q4" s="13" t="n"/>
      <c r="R4" s="13" t="n"/>
    </row>
    <row r="5" ht="22" customHeight="1">
      <c r="A5" s="9" t="inlineStr">
        <is>
          <t>Tuần 2</t>
        </is>
      </c>
      <c r="B5" s="61" t="n">
        <v>46321</v>
      </c>
      <c r="C5" s="61" t="n">
        <v>46327</v>
      </c>
      <c r="D5" s="70">
        <f>IFERROR(AVERAGEIFS('10_BODY_WEIGHT_LOG'!$C$4:$C$171, '10_BODY_WEIGHT_LOG'!$A$4:$A$171, "&gt;="&amp;B5, '10_BODY_WEIGHT_LOG'!$A$4:$A$171, "&lt;="&amp;C5), "")</f>
        <v/>
      </c>
      <c r="E5" s="69">
        <f>IF(OR(D5="", D4=""), "-", D5-D4)</f>
        <v/>
      </c>
      <c r="F5" s="9">
        <f>COUNTIFS('06_DAILY_NUTRITION_LOG'!$N$5:$N$172, "&gt;="&amp;B5, '06_DAILY_NUTRITION_LOG'!$N$5:$N$172, "&lt;="&amp;C5, '06_DAILY_NUTRITION_LOG'!$V$5:$V$172, "COMPLETE*")</f>
        <v/>
      </c>
      <c r="G5" s="62">
        <f>IFERROR(AVERAGEIFS('06_DAILY_NUTRITION_LOG'!$P$5:$P$172, '06_DAILY_NUTRITION_LOG'!$N$5:$N$172, "&gt;="&amp;B5, '06_DAILY_NUTRITION_LOG'!$N$5:$N$172, "&lt;="&amp;C5, '06_DAILY_NUTRITION_LOG'!$V$5:$V$172, "COMPLETE*"), "")</f>
        <v/>
      </c>
      <c r="H5" s="119">
        <f>IFERROR(AVERAGEIFS('06_DAILY_NUTRITION_LOG'!$Q$5:$Q$172, '06_DAILY_NUTRITION_LOG'!$N$5:$N$172, "&gt;="&amp;B5, '06_DAILY_NUTRITION_LOG'!$N$5:$N$172, "&lt;="&amp;C5, '06_DAILY_NUTRITION_LOG'!$V$5:$V$172, "COMPLETE*"), "")</f>
        <v/>
      </c>
      <c r="I5" s="63">
        <f>IF(G5="", "", G5/'02_NUTRITION_SETUP'!$C$20)</f>
        <v/>
      </c>
      <c r="J5" s="63">
        <f>IF(H5="", "", H5/'02_NUTRITION_SETUP'!$C$21)</f>
        <v/>
      </c>
      <c r="K5" s="9" t="n">
        <v>4</v>
      </c>
      <c r="L5" s="120">
        <f>COUNTIFS('09_WORKOUT_LOG'!$N$4:$N$100, "&gt;="&amp;B5, '09_WORKOUT_LOG'!$N$4:$N$100, "&lt;="&amp;C5, '09_WORKOUT_LOG'!$R$4:$R$100, "Hoàn thành*")</f>
        <v/>
      </c>
      <c r="M5" s="63">
        <f>IF(K5="", "", L5/K5)</f>
        <v/>
      </c>
      <c r="N5" s="77">
        <f>IFERROR(AVERAGEIFS('10_BODY_WEIGHT_LOG'!$I$4:$I$171, '10_BODY_WEIGHT_LOG'!$A$4:$A$171, "&gt;="&amp;B5, '10_BODY_WEIGHT_LOG'!$A$4:$A$171, "&lt;="&amp;C5), "")</f>
        <v/>
      </c>
      <c r="O5" s="13" t="n"/>
      <c r="P5" s="13" t="n"/>
      <c r="Q5" s="13" t="n"/>
      <c r="R5" s="13" t="n"/>
    </row>
    <row r="6" ht="22" customHeight="1">
      <c r="A6" s="9" t="inlineStr">
        <is>
          <t>Tuần 3</t>
        </is>
      </c>
      <c r="B6" s="61" t="n">
        <v>46328</v>
      </c>
      <c r="C6" s="61" t="n">
        <v>46334</v>
      </c>
      <c r="D6" s="70">
        <f>IFERROR(AVERAGEIFS('10_BODY_WEIGHT_LOG'!$C$4:$C$171, '10_BODY_WEIGHT_LOG'!$A$4:$A$171, "&gt;="&amp;B6, '10_BODY_WEIGHT_LOG'!$A$4:$A$171, "&lt;="&amp;C6), "")</f>
        <v/>
      </c>
      <c r="E6" s="69">
        <f>IF(OR(D6="", D5=""), "-", D6-D5)</f>
        <v/>
      </c>
      <c r="F6" s="9">
        <f>COUNTIFS('06_DAILY_NUTRITION_LOG'!$N$5:$N$172, "&gt;="&amp;B6, '06_DAILY_NUTRITION_LOG'!$N$5:$N$172, "&lt;="&amp;C6, '06_DAILY_NUTRITION_LOG'!$V$5:$V$172, "COMPLETE*")</f>
        <v/>
      </c>
      <c r="G6" s="62">
        <f>IFERROR(AVERAGEIFS('06_DAILY_NUTRITION_LOG'!$P$5:$P$172, '06_DAILY_NUTRITION_LOG'!$N$5:$N$172, "&gt;="&amp;B6, '06_DAILY_NUTRITION_LOG'!$N$5:$N$172, "&lt;="&amp;C6, '06_DAILY_NUTRITION_LOG'!$V$5:$V$172, "COMPLETE*"), "")</f>
        <v/>
      </c>
      <c r="H6" s="119">
        <f>IFERROR(AVERAGEIFS('06_DAILY_NUTRITION_LOG'!$Q$5:$Q$172, '06_DAILY_NUTRITION_LOG'!$N$5:$N$172, "&gt;="&amp;B6, '06_DAILY_NUTRITION_LOG'!$N$5:$N$172, "&lt;="&amp;C6, '06_DAILY_NUTRITION_LOG'!$V$5:$V$172, "COMPLETE*"), "")</f>
        <v/>
      </c>
      <c r="I6" s="63">
        <f>IF(G6="", "", G6/'02_NUTRITION_SETUP'!$C$20)</f>
        <v/>
      </c>
      <c r="J6" s="63">
        <f>IF(H6="", "", H6/'02_NUTRITION_SETUP'!$C$21)</f>
        <v/>
      </c>
      <c r="K6" s="9" t="n">
        <v>4</v>
      </c>
      <c r="L6" s="120">
        <f>COUNTIFS('09_WORKOUT_LOG'!$N$4:$N$100, "&gt;="&amp;B6, '09_WORKOUT_LOG'!$N$4:$N$100, "&lt;="&amp;C6, '09_WORKOUT_LOG'!$R$4:$R$100, "Hoàn thành*")</f>
        <v/>
      </c>
      <c r="M6" s="63">
        <f>IF(K6="", "", L6/K6)</f>
        <v/>
      </c>
      <c r="N6" s="77">
        <f>IFERROR(AVERAGEIFS('10_BODY_WEIGHT_LOG'!$I$4:$I$171, '10_BODY_WEIGHT_LOG'!$A$4:$A$171, "&gt;="&amp;B6, '10_BODY_WEIGHT_LOG'!$A$4:$A$171, "&lt;="&amp;C6), "")</f>
        <v/>
      </c>
      <c r="O6" s="13" t="n"/>
      <c r="P6" s="13" t="n"/>
      <c r="Q6" s="13" t="n"/>
      <c r="R6" s="13" t="n"/>
    </row>
    <row r="7" ht="22" customHeight="1">
      <c r="A7" s="9" t="inlineStr">
        <is>
          <t>Tuần 4</t>
        </is>
      </c>
      <c r="B7" s="61" t="n">
        <v>46335</v>
      </c>
      <c r="C7" s="61" t="n">
        <v>46341</v>
      </c>
      <c r="D7" s="70">
        <f>IFERROR(AVERAGEIFS('10_BODY_WEIGHT_LOG'!$C$4:$C$171, '10_BODY_WEIGHT_LOG'!$A$4:$A$171, "&gt;="&amp;B7, '10_BODY_WEIGHT_LOG'!$A$4:$A$171, "&lt;="&amp;C7), "")</f>
        <v/>
      </c>
      <c r="E7" s="69">
        <f>IF(OR(D7="", D6=""), "-", D7-D6)</f>
        <v/>
      </c>
      <c r="F7" s="9">
        <f>COUNTIFS('06_DAILY_NUTRITION_LOG'!$N$5:$N$172, "&gt;="&amp;B7, '06_DAILY_NUTRITION_LOG'!$N$5:$N$172, "&lt;="&amp;C7, '06_DAILY_NUTRITION_LOG'!$V$5:$V$172, "COMPLETE*")</f>
        <v/>
      </c>
      <c r="G7" s="62">
        <f>IFERROR(AVERAGEIFS('06_DAILY_NUTRITION_LOG'!$P$5:$P$172, '06_DAILY_NUTRITION_LOG'!$N$5:$N$172, "&gt;="&amp;B7, '06_DAILY_NUTRITION_LOG'!$N$5:$N$172, "&lt;="&amp;C7, '06_DAILY_NUTRITION_LOG'!$V$5:$V$172, "COMPLETE*"), "")</f>
        <v/>
      </c>
      <c r="H7" s="119">
        <f>IFERROR(AVERAGEIFS('06_DAILY_NUTRITION_LOG'!$Q$5:$Q$172, '06_DAILY_NUTRITION_LOG'!$N$5:$N$172, "&gt;="&amp;B7, '06_DAILY_NUTRITION_LOG'!$N$5:$N$172, "&lt;="&amp;C7, '06_DAILY_NUTRITION_LOG'!$V$5:$V$172, "COMPLETE*"), "")</f>
        <v/>
      </c>
      <c r="I7" s="63">
        <f>IF(G7="", "", G7/'02_NUTRITION_SETUP'!$C$20)</f>
        <v/>
      </c>
      <c r="J7" s="63">
        <f>IF(H7="", "", H7/'02_NUTRITION_SETUP'!$C$21)</f>
        <v/>
      </c>
      <c r="K7" s="9" t="n">
        <v>4</v>
      </c>
      <c r="L7" s="120">
        <f>COUNTIFS('09_WORKOUT_LOG'!$N$4:$N$100, "&gt;="&amp;B7, '09_WORKOUT_LOG'!$N$4:$N$100, "&lt;="&amp;C7, '09_WORKOUT_LOG'!$R$4:$R$100, "Hoàn thành*")</f>
        <v/>
      </c>
      <c r="M7" s="63">
        <f>IF(K7="", "", L7/K7)</f>
        <v/>
      </c>
      <c r="N7" s="77">
        <f>IFERROR(AVERAGEIFS('10_BODY_WEIGHT_LOG'!$I$4:$I$171, '10_BODY_WEIGHT_LOG'!$A$4:$A$171, "&gt;="&amp;B7, '10_BODY_WEIGHT_LOG'!$A$4:$A$171, "&lt;="&amp;C7), "")</f>
        <v/>
      </c>
      <c r="O7" s="13" t="n"/>
      <c r="P7" s="13" t="n"/>
      <c r="Q7" s="13" t="n"/>
      <c r="R7" s="13" t="n"/>
    </row>
    <row r="8" ht="22" customHeight="1">
      <c r="A8" s="9" t="inlineStr">
        <is>
          <t>Tuần 5</t>
        </is>
      </c>
      <c r="B8" s="61" t="n">
        <v>46342</v>
      </c>
      <c r="C8" s="61" t="n">
        <v>46348</v>
      </c>
      <c r="D8" s="70">
        <f>IFERROR(AVERAGEIFS('10_BODY_WEIGHT_LOG'!$C$4:$C$171, '10_BODY_WEIGHT_LOG'!$A$4:$A$171, "&gt;="&amp;B8, '10_BODY_WEIGHT_LOG'!$A$4:$A$171, "&lt;="&amp;C8), "")</f>
        <v/>
      </c>
      <c r="E8" s="69">
        <f>IF(OR(D8="", D7=""), "-", D8-D7)</f>
        <v/>
      </c>
      <c r="F8" s="9">
        <f>COUNTIFS('06_DAILY_NUTRITION_LOG'!$N$5:$N$172, "&gt;="&amp;B8, '06_DAILY_NUTRITION_LOG'!$N$5:$N$172, "&lt;="&amp;C8, '06_DAILY_NUTRITION_LOG'!$V$5:$V$172, "COMPLETE*")</f>
        <v/>
      </c>
      <c r="G8" s="62">
        <f>IFERROR(AVERAGEIFS('06_DAILY_NUTRITION_LOG'!$P$5:$P$172, '06_DAILY_NUTRITION_LOG'!$N$5:$N$172, "&gt;="&amp;B8, '06_DAILY_NUTRITION_LOG'!$N$5:$N$172, "&lt;="&amp;C8, '06_DAILY_NUTRITION_LOG'!$V$5:$V$172, "COMPLETE*"), "")</f>
        <v/>
      </c>
      <c r="H8" s="119">
        <f>IFERROR(AVERAGEIFS('06_DAILY_NUTRITION_LOG'!$Q$5:$Q$172, '06_DAILY_NUTRITION_LOG'!$N$5:$N$172, "&gt;="&amp;B8, '06_DAILY_NUTRITION_LOG'!$N$5:$N$172, "&lt;="&amp;C8, '06_DAILY_NUTRITION_LOG'!$V$5:$V$172, "COMPLETE*"), "")</f>
        <v/>
      </c>
      <c r="I8" s="63">
        <f>IF(G8="", "", G8/'02_NUTRITION_SETUP'!$C$20)</f>
        <v/>
      </c>
      <c r="J8" s="63">
        <f>IF(H8="", "", H8/'02_NUTRITION_SETUP'!$C$21)</f>
        <v/>
      </c>
      <c r="K8" s="9" t="n">
        <v>4</v>
      </c>
      <c r="L8" s="120">
        <f>COUNTIFS('09_WORKOUT_LOG'!$N$4:$N$100, "&gt;="&amp;B8, '09_WORKOUT_LOG'!$N$4:$N$100, "&lt;="&amp;C8, '09_WORKOUT_LOG'!$R$4:$R$100, "Hoàn thành*")</f>
        <v/>
      </c>
      <c r="M8" s="63">
        <f>IF(K8="", "", L8/K8)</f>
        <v/>
      </c>
      <c r="N8" s="77">
        <f>IFERROR(AVERAGEIFS('10_BODY_WEIGHT_LOG'!$I$4:$I$171, '10_BODY_WEIGHT_LOG'!$A$4:$A$171, "&gt;="&amp;B8, '10_BODY_WEIGHT_LOG'!$A$4:$A$171, "&lt;="&amp;C8), "")</f>
        <v/>
      </c>
      <c r="O8" s="13" t="n"/>
      <c r="P8" s="13" t="n"/>
      <c r="Q8" s="13" t="n"/>
      <c r="R8" s="13" t="n"/>
    </row>
    <row r="9" ht="22" customHeight="1">
      <c r="A9" s="9" t="inlineStr">
        <is>
          <t>Tuần 6</t>
        </is>
      </c>
      <c r="B9" s="61" t="n">
        <v>46349</v>
      </c>
      <c r="C9" s="61" t="n">
        <v>46355</v>
      </c>
      <c r="D9" s="70">
        <f>IFERROR(AVERAGEIFS('10_BODY_WEIGHT_LOG'!$C$4:$C$171, '10_BODY_WEIGHT_LOG'!$A$4:$A$171, "&gt;="&amp;B9, '10_BODY_WEIGHT_LOG'!$A$4:$A$171, "&lt;="&amp;C9), "")</f>
        <v/>
      </c>
      <c r="E9" s="69">
        <f>IF(OR(D9="", D8=""), "-", D9-D8)</f>
        <v/>
      </c>
      <c r="F9" s="9">
        <f>COUNTIFS('06_DAILY_NUTRITION_LOG'!$N$5:$N$172, "&gt;="&amp;B9, '06_DAILY_NUTRITION_LOG'!$N$5:$N$172, "&lt;="&amp;C9, '06_DAILY_NUTRITION_LOG'!$V$5:$V$172, "COMPLETE*")</f>
        <v/>
      </c>
      <c r="G9" s="62">
        <f>IFERROR(AVERAGEIFS('06_DAILY_NUTRITION_LOG'!$P$5:$P$172, '06_DAILY_NUTRITION_LOG'!$N$5:$N$172, "&gt;="&amp;B9, '06_DAILY_NUTRITION_LOG'!$N$5:$N$172, "&lt;="&amp;C9, '06_DAILY_NUTRITION_LOG'!$V$5:$V$172, "COMPLETE*"), "")</f>
        <v/>
      </c>
      <c r="H9" s="119">
        <f>IFERROR(AVERAGEIFS('06_DAILY_NUTRITION_LOG'!$Q$5:$Q$172, '06_DAILY_NUTRITION_LOG'!$N$5:$N$172, "&gt;="&amp;B9, '06_DAILY_NUTRITION_LOG'!$N$5:$N$172, "&lt;="&amp;C9, '06_DAILY_NUTRITION_LOG'!$V$5:$V$172, "COMPLETE*"), "")</f>
        <v/>
      </c>
      <c r="I9" s="63">
        <f>IF(G9="", "", G9/'02_NUTRITION_SETUP'!$C$20)</f>
        <v/>
      </c>
      <c r="J9" s="63">
        <f>IF(H9="", "", H9/'02_NUTRITION_SETUP'!$C$21)</f>
        <v/>
      </c>
      <c r="K9" s="9" t="n">
        <v>4</v>
      </c>
      <c r="L9" s="120">
        <f>COUNTIFS('09_WORKOUT_LOG'!$N$4:$N$100, "&gt;="&amp;B9, '09_WORKOUT_LOG'!$N$4:$N$100, "&lt;="&amp;C9, '09_WORKOUT_LOG'!$R$4:$R$100, "Hoàn thành*")</f>
        <v/>
      </c>
      <c r="M9" s="63">
        <f>IF(K9="", "", L9/K9)</f>
        <v/>
      </c>
      <c r="N9" s="77">
        <f>IFERROR(AVERAGEIFS('10_BODY_WEIGHT_LOG'!$I$4:$I$171, '10_BODY_WEIGHT_LOG'!$A$4:$A$171, "&gt;="&amp;B9, '10_BODY_WEIGHT_LOG'!$A$4:$A$171, "&lt;="&amp;C9), "")</f>
        <v/>
      </c>
      <c r="O9" s="13" t="n"/>
      <c r="P9" s="13" t="n"/>
      <c r="Q9" s="13" t="n"/>
      <c r="R9" s="13" t="n"/>
    </row>
    <row r="10" ht="22" customHeight="1">
      <c r="A10" s="9" t="inlineStr">
        <is>
          <t>Tuần 7</t>
        </is>
      </c>
      <c r="B10" s="61" t="n">
        <v>46356</v>
      </c>
      <c r="C10" s="61" t="n">
        <v>46362</v>
      </c>
      <c r="D10" s="70">
        <f>IFERROR(AVERAGEIFS('10_BODY_WEIGHT_LOG'!$C$4:$C$171, '10_BODY_WEIGHT_LOG'!$A$4:$A$171, "&gt;="&amp;B10, '10_BODY_WEIGHT_LOG'!$A$4:$A$171, "&lt;="&amp;C10), "")</f>
        <v/>
      </c>
      <c r="E10" s="69">
        <f>IF(OR(D10="", D9=""), "-", D10-D9)</f>
        <v/>
      </c>
      <c r="F10" s="9">
        <f>COUNTIFS('06_DAILY_NUTRITION_LOG'!$N$5:$N$172, "&gt;="&amp;B10, '06_DAILY_NUTRITION_LOG'!$N$5:$N$172, "&lt;="&amp;C10, '06_DAILY_NUTRITION_LOG'!$V$5:$V$172, "COMPLETE*")</f>
        <v/>
      </c>
      <c r="G10" s="62">
        <f>IFERROR(AVERAGEIFS('06_DAILY_NUTRITION_LOG'!$P$5:$P$172, '06_DAILY_NUTRITION_LOG'!$N$5:$N$172, "&gt;="&amp;B10, '06_DAILY_NUTRITION_LOG'!$N$5:$N$172, "&lt;="&amp;C10, '06_DAILY_NUTRITION_LOG'!$V$5:$V$172, "COMPLETE*"), "")</f>
        <v/>
      </c>
      <c r="H10" s="119">
        <f>IFERROR(AVERAGEIFS('06_DAILY_NUTRITION_LOG'!$Q$5:$Q$172, '06_DAILY_NUTRITION_LOG'!$N$5:$N$172, "&gt;="&amp;B10, '06_DAILY_NUTRITION_LOG'!$N$5:$N$172, "&lt;="&amp;C10, '06_DAILY_NUTRITION_LOG'!$V$5:$V$172, "COMPLETE*"), "")</f>
        <v/>
      </c>
      <c r="I10" s="63">
        <f>IF(G10="", "", G10/'02_NUTRITION_SETUP'!$C$20)</f>
        <v/>
      </c>
      <c r="J10" s="63">
        <f>IF(H10="", "", H10/'02_NUTRITION_SETUP'!$C$21)</f>
        <v/>
      </c>
      <c r="K10" s="9" t="n">
        <v>4</v>
      </c>
      <c r="L10" s="120">
        <f>COUNTIFS('09_WORKOUT_LOG'!$N$4:$N$100, "&gt;="&amp;B10, '09_WORKOUT_LOG'!$N$4:$N$100, "&lt;="&amp;C10, '09_WORKOUT_LOG'!$R$4:$R$100, "Hoàn thành*")</f>
        <v/>
      </c>
      <c r="M10" s="63">
        <f>IF(K10="", "", L10/K10)</f>
        <v/>
      </c>
      <c r="N10" s="77">
        <f>IFERROR(AVERAGEIFS('10_BODY_WEIGHT_LOG'!$I$4:$I$171, '10_BODY_WEIGHT_LOG'!$A$4:$A$171, "&gt;="&amp;B10, '10_BODY_WEIGHT_LOG'!$A$4:$A$171, "&lt;="&amp;C10), "")</f>
        <v/>
      </c>
      <c r="O10" s="13" t="n"/>
      <c r="P10" s="13" t="n"/>
      <c r="Q10" s="13" t="n"/>
      <c r="R10" s="13" t="n"/>
    </row>
    <row r="11" ht="22" customHeight="1">
      <c r="A11" s="9" t="inlineStr">
        <is>
          <t>Tuần 8</t>
        </is>
      </c>
      <c r="B11" s="61" t="n">
        <v>46363</v>
      </c>
      <c r="C11" s="61" t="n">
        <v>46369</v>
      </c>
      <c r="D11" s="70">
        <f>IFERROR(AVERAGEIFS('10_BODY_WEIGHT_LOG'!$C$4:$C$171, '10_BODY_WEIGHT_LOG'!$A$4:$A$171, "&gt;="&amp;B11, '10_BODY_WEIGHT_LOG'!$A$4:$A$171, "&lt;="&amp;C11), "")</f>
        <v/>
      </c>
      <c r="E11" s="69">
        <f>IF(OR(D11="", D10=""), "-", D11-D10)</f>
        <v/>
      </c>
      <c r="F11" s="9">
        <f>COUNTIFS('06_DAILY_NUTRITION_LOG'!$N$5:$N$172, "&gt;="&amp;B11, '06_DAILY_NUTRITION_LOG'!$N$5:$N$172, "&lt;="&amp;C11, '06_DAILY_NUTRITION_LOG'!$V$5:$V$172, "COMPLETE*")</f>
        <v/>
      </c>
      <c r="G11" s="62">
        <f>IFERROR(AVERAGEIFS('06_DAILY_NUTRITION_LOG'!$P$5:$P$172, '06_DAILY_NUTRITION_LOG'!$N$5:$N$172, "&gt;="&amp;B11, '06_DAILY_NUTRITION_LOG'!$N$5:$N$172, "&lt;="&amp;C11, '06_DAILY_NUTRITION_LOG'!$V$5:$V$172, "COMPLETE*"), "")</f>
        <v/>
      </c>
      <c r="H11" s="119">
        <f>IFERROR(AVERAGEIFS('06_DAILY_NUTRITION_LOG'!$Q$5:$Q$172, '06_DAILY_NUTRITION_LOG'!$N$5:$N$172, "&gt;="&amp;B11, '06_DAILY_NUTRITION_LOG'!$N$5:$N$172, "&lt;="&amp;C11, '06_DAILY_NUTRITION_LOG'!$V$5:$V$172, "COMPLETE*"), "")</f>
        <v/>
      </c>
      <c r="I11" s="63">
        <f>IF(G11="", "", G11/'02_NUTRITION_SETUP'!$C$20)</f>
        <v/>
      </c>
      <c r="J11" s="63">
        <f>IF(H11="", "", H11/'02_NUTRITION_SETUP'!$C$21)</f>
        <v/>
      </c>
      <c r="K11" s="9" t="n">
        <v>4</v>
      </c>
      <c r="L11" s="120">
        <f>COUNTIFS('09_WORKOUT_LOG'!$N$4:$N$100, "&gt;="&amp;B11, '09_WORKOUT_LOG'!$N$4:$N$100, "&lt;="&amp;C11, '09_WORKOUT_LOG'!$R$4:$R$100, "Hoàn thành*")</f>
        <v/>
      </c>
      <c r="M11" s="63">
        <f>IF(K11="", "", L11/K11)</f>
        <v/>
      </c>
      <c r="N11" s="77">
        <f>IFERROR(AVERAGEIFS('10_BODY_WEIGHT_LOG'!$I$4:$I$171, '10_BODY_WEIGHT_LOG'!$A$4:$A$171, "&gt;="&amp;B11, '10_BODY_WEIGHT_LOG'!$A$4:$A$171, "&lt;="&amp;C11), "")</f>
        <v/>
      </c>
      <c r="O11" s="13" t="n"/>
      <c r="P11" s="13" t="n"/>
      <c r="Q11" s="13" t="n"/>
      <c r="R11" s="13" t="n"/>
    </row>
    <row r="12" ht="22" customHeight="1">
      <c r="A12" s="9" t="inlineStr">
        <is>
          <t>Tuần 9</t>
        </is>
      </c>
      <c r="B12" s="61" t="n">
        <v>46370</v>
      </c>
      <c r="C12" s="61" t="n">
        <v>46376</v>
      </c>
      <c r="D12" s="70">
        <f>IFERROR(AVERAGEIFS('10_BODY_WEIGHT_LOG'!$C$4:$C$171, '10_BODY_WEIGHT_LOG'!$A$4:$A$171, "&gt;="&amp;B12, '10_BODY_WEIGHT_LOG'!$A$4:$A$171, "&lt;="&amp;C12), "")</f>
        <v/>
      </c>
      <c r="E12" s="69">
        <f>IF(OR(D12="", D11=""), "-", D12-D11)</f>
        <v/>
      </c>
      <c r="F12" s="9">
        <f>COUNTIFS('06_DAILY_NUTRITION_LOG'!$N$5:$N$172, "&gt;="&amp;B12, '06_DAILY_NUTRITION_LOG'!$N$5:$N$172, "&lt;="&amp;C12, '06_DAILY_NUTRITION_LOG'!$V$5:$V$172, "COMPLETE*")</f>
        <v/>
      </c>
      <c r="G12" s="62">
        <f>IFERROR(AVERAGEIFS('06_DAILY_NUTRITION_LOG'!$P$5:$P$172, '06_DAILY_NUTRITION_LOG'!$N$5:$N$172, "&gt;="&amp;B12, '06_DAILY_NUTRITION_LOG'!$N$5:$N$172, "&lt;="&amp;C12, '06_DAILY_NUTRITION_LOG'!$V$5:$V$172, "COMPLETE*"), "")</f>
        <v/>
      </c>
      <c r="H12" s="119">
        <f>IFERROR(AVERAGEIFS('06_DAILY_NUTRITION_LOG'!$Q$5:$Q$172, '06_DAILY_NUTRITION_LOG'!$N$5:$N$172, "&gt;="&amp;B12, '06_DAILY_NUTRITION_LOG'!$N$5:$N$172, "&lt;="&amp;C12, '06_DAILY_NUTRITION_LOG'!$V$5:$V$172, "COMPLETE*"), "")</f>
        <v/>
      </c>
      <c r="I12" s="63">
        <f>IF(G12="", "", G12/'02_NUTRITION_SETUP'!$C$20)</f>
        <v/>
      </c>
      <c r="J12" s="63">
        <f>IF(H12="", "", H12/'02_NUTRITION_SETUP'!$C$21)</f>
        <v/>
      </c>
      <c r="K12" s="9" t="n">
        <v>4</v>
      </c>
      <c r="L12" s="120">
        <f>COUNTIFS('09_WORKOUT_LOG'!$N$4:$N$100, "&gt;="&amp;B12, '09_WORKOUT_LOG'!$N$4:$N$100, "&lt;="&amp;C12, '09_WORKOUT_LOG'!$R$4:$R$100, "Hoàn thành*")</f>
        <v/>
      </c>
      <c r="M12" s="63">
        <f>IF(K12="", "", L12/K12)</f>
        <v/>
      </c>
      <c r="N12" s="77">
        <f>IFERROR(AVERAGEIFS('10_BODY_WEIGHT_LOG'!$I$4:$I$171, '10_BODY_WEIGHT_LOG'!$A$4:$A$171, "&gt;="&amp;B12, '10_BODY_WEIGHT_LOG'!$A$4:$A$171, "&lt;="&amp;C12), "")</f>
        <v/>
      </c>
      <c r="O12" s="13" t="n"/>
      <c r="P12" s="13" t="n"/>
      <c r="Q12" s="13" t="n"/>
      <c r="R12" s="13" t="n"/>
    </row>
    <row r="13" ht="22" customHeight="1">
      <c r="A13" s="9" t="inlineStr">
        <is>
          <t>Tuần 10</t>
        </is>
      </c>
      <c r="B13" s="61" t="n">
        <v>46377</v>
      </c>
      <c r="C13" s="61" t="n">
        <v>46383</v>
      </c>
      <c r="D13" s="70">
        <f>IFERROR(AVERAGEIFS('10_BODY_WEIGHT_LOG'!$C$4:$C$171, '10_BODY_WEIGHT_LOG'!$A$4:$A$171, "&gt;="&amp;B13, '10_BODY_WEIGHT_LOG'!$A$4:$A$171, "&lt;="&amp;C13), "")</f>
        <v/>
      </c>
      <c r="E13" s="69">
        <f>IF(OR(D13="", D12=""), "-", D13-D12)</f>
        <v/>
      </c>
      <c r="F13" s="9">
        <f>COUNTIFS('06_DAILY_NUTRITION_LOG'!$N$5:$N$172, "&gt;="&amp;B13, '06_DAILY_NUTRITION_LOG'!$N$5:$N$172, "&lt;="&amp;C13, '06_DAILY_NUTRITION_LOG'!$V$5:$V$172, "COMPLETE*")</f>
        <v/>
      </c>
      <c r="G13" s="62">
        <f>IFERROR(AVERAGEIFS('06_DAILY_NUTRITION_LOG'!$P$5:$P$172, '06_DAILY_NUTRITION_LOG'!$N$5:$N$172, "&gt;="&amp;B13, '06_DAILY_NUTRITION_LOG'!$N$5:$N$172, "&lt;="&amp;C13, '06_DAILY_NUTRITION_LOG'!$V$5:$V$172, "COMPLETE*"), "")</f>
        <v/>
      </c>
      <c r="H13" s="119">
        <f>IFERROR(AVERAGEIFS('06_DAILY_NUTRITION_LOG'!$Q$5:$Q$172, '06_DAILY_NUTRITION_LOG'!$N$5:$N$172, "&gt;="&amp;B13, '06_DAILY_NUTRITION_LOG'!$N$5:$N$172, "&lt;="&amp;C13, '06_DAILY_NUTRITION_LOG'!$V$5:$V$172, "COMPLETE*"), "")</f>
        <v/>
      </c>
      <c r="I13" s="63">
        <f>IF(G13="", "", G13/'02_NUTRITION_SETUP'!$C$20)</f>
        <v/>
      </c>
      <c r="J13" s="63">
        <f>IF(H13="", "", H13/'02_NUTRITION_SETUP'!$C$21)</f>
        <v/>
      </c>
      <c r="K13" s="9" t="n">
        <v>4</v>
      </c>
      <c r="L13" s="120">
        <f>COUNTIFS('09_WORKOUT_LOG'!$N$4:$N$100, "&gt;="&amp;B13, '09_WORKOUT_LOG'!$N$4:$N$100, "&lt;="&amp;C13, '09_WORKOUT_LOG'!$R$4:$R$100, "Hoàn thành*")</f>
        <v/>
      </c>
      <c r="M13" s="63">
        <f>IF(K13="", "", L13/K13)</f>
        <v/>
      </c>
      <c r="N13" s="77">
        <f>IFERROR(AVERAGEIFS('10_BODY_WEIGHT_LOG'!$I$4:$I$171, '10_BODY_WEIGHT_LOG'!$A$4:$A$171, "&gt;="&amp;B13, '10_BODY_WEIGHT_LOG'!$A$4:$A$171, "&lt;="&amp;C13), "")</f>
        <v/>
      </c>
      <c r="O13" s="13" t="n"/>
      <c r="P13" s="13" t="n"/>
      <c r="Q13" s="13" t="n"/>
      <c r="R13" s="13" t="n"/>
    </row>
    <row r="14" ht="22" customHeight="1">
      <c r="A14" s="9" t="inlineStr">
        <is>
          <t>Tuần 11</t>
        </is>
      </c>
      <c r="B14" s="61" t="n">
        <v>46384</v>
      </c>
      <c r="C14" s="61" t="n">
        <v>46390</v>
      </c>
      <c r="D14" s="70">
        <f>IFERROR(AVERAGEIFS('10_BODY_WEIGHT_LOG'!$C$4:$C$171, '10_BODY_WEIGHT_LOG'!$A$4:$A$171, "&gt;="&amp;B14, '10_BODY_WEIGHT_LOG'!$A$4:$A$171, "&lt;="&amp;C14), "")</f>
        <v/>
      </c>
      <c r="E14" s="69">
        <f>IF(OR(D14="", D13=""), "-", D14-D13)</f>
        <v/>
      </c>
      <c r="F14" s="9">
        <f>COUNTIFS('06_DAILY_NUTRITION_LOG'!$N$5:$N$172, "&gt;="&amp;B14, '06_DAILY_NUTRITION_LOG'!$N$5:$N$172, "&lt;="&amp;C14, '06_DAILY_NUTRITION_LOG'!$V$5:$V$172, "COMPLETE*")</f>
        <v/>
      </c>
      <c r="G14" s="62">
        <f>IFERROR(AVERAGEIFS('06_DAILY_NUTRITION_LOG'!$P$5:$P$172, '06_DAILY_NUTRITION_LOG'!$N$5:$N$172, "&gt;="&amp;B14, '06_DAILY_NUTRITION_LOG'!$N$5:$N$172, "&lt;="&amp;C14, '06_DAILY_NUTRITION_LOG'!$V$5:$V$172, "COMPLETE*"), "")</f>
        <v/>
      </c>
      <c r="H14" s="119">
        <f>IFERROR(AVERAGEIFS('06_DAILY_NUTRITION_LOG'!$Q$5:$Q$172, '06_DAILY_NUTRITION_LOG'!$N$5:$N$172, "&gt;="&amp;B14, '06_DAILY_NUTRITION_LOG'!$N$5:$N$172, "&lt;="&amp;C14, '06_DAILY_NUTRITION_LOG'!$V$5:$V$172, "COMPLETE*"), "")</f>
        <v/>
      </c>
      <c r="I14" s="63">
        <f>IF(G14="", "", G14/'02_NUTRITION_SETUP'!$C$20)</f>
        <v/>
      </c>
      <c r="J14" s="63">
        <f>IF(H14="", "", H14/'02_NUTRITION_SETUP'!$C$21)</f>
        <v/>
      </c>
      <c r="K14" s="9" t="n">
        <v>4</v>
      </c>
      <c r="L14" s="120">
        <f>COUNTIFS('09_WORKOUT_LOG'!$N$4:$N$100, "&gt;="&amp;B14, '09_WORKOUT_LOG'!$N$4:$N$100, "&lt;="&amp;C14, '09_WORKOUT_LOG'!$R$4:$R$100, "Hoàn thành*")</f>
        <v/>
      </c>
      <c r="M14" s="63">
        <f>IF(K14="", "", L14/K14)</f>
        <v/>
      </c>
      <c r="N14" s="77">
        <f>IFERROR(AVERAGEIFS('10_BODY_WEIGHT_LOG'!$I$4:$I$171, '10_BODY_WEIGHT_LOG'!$A$4:$A$171, "&gt;="&amp;B14, '10_BODY_WEIGHT_LOG'!$A$4:$A$171, "&lt;="&amp;C14), "")</f>
        <v/>
      </c>
      <c r="O14" s="13" t="n"/>
      <c r="P14" s="13" t="n"/>
      <c r="Q14" s="13" t="n"/>
      <c r="R14" s="13" t="n"/>
    </row>
    <row r="15" ht="22" customHeight="1">
      <c r="A15" s="9" t="inlineStr">
        <is>
          <t>Tuần 12</t>
        </is>
      </c>
      <c r="B15" s="61" t="n">
        <v>46391</v>
      </c>
      <c r="C15" s="61" t="n">
        <v>46397</v>
      </c>
      <c r="D15" s="70">
        <f>IFERROR(AVERAGEIFS('10_BODY_WEIGHT_LOG'!$C$4:$C$171, '10_BODY_WEIGHT_LOG'!$A$4:$A$171, "&gt;="&amp;B15, '10_BODY_WEIGHT_LOG'!$A$4:$A$171, "&lt;="&amp;C15), "")</f>
        <v/>
      </c>
      <c r="E15" s="69">
        <f>IF(OR(D15="", D14=""), "-", D15-D14)</f>
        <v/>
      </c>
      <c r="F15" s="9">
        <f>COUNTIFS('06_DAILY_NUTRITION_LOG'!$N$5:$N$172, "&gt;="&amp;B15, '06_DAILY_NUTRITION_LOG'!$N$5:$N$172, "&lt;="&amp;C15, '06_DAILY_NUTRITION_LOG'!$V$5:$V$172, "COMPLETE*")</f>
        <v/>
      </c>
      <c r="G15" s="62">
        <f>IFERROR(AVERAGEIFS('06_DAILY_NUTRITION_LOG'!$P$5:$P$172, '06_DAILY_NUTRITION_LOG'!$N$5:$N$172, "&gt;="&amp;B15, '06_DAILY_NUTRITION_LOG'!$N$5:$N$172, "&lt;="&amp;C15, '06_DAILY_NUTRITION_LOG'!$V$5:$V$172, "COMPLETE*"), "")</f>
        <v/>
      </c>
      <c r="H15" s="119">
        <f>IFERROR(AVERAGEIFS('06_DAILY_NUTRITION_LOG'!$Q$5:$Q$172, '06_DAILY_NUTRITION_LOG'!$N$5:$N$172, "&gt;="&amp;B15, '06_DAILY_NUTRITION_LOG'!$N$5:$N$172, "&lt;="&amp;C15, '06_DAILY_NUTRITION_LOG'!$V$5:$V$172, "COMPLETE*"), "")</f>
        <v/>
      </c>
      <c r="I15" s="63">
        <f>IF(G15="", "", G15/'02_NUTRITION_SETUP'!$C$20)</f>
        <v/>
      </c>
      <c r="J15" s="63">
        <f>IF(H15="", "", H15/'02_NUTRITION_SETUP'!$C$21)</f>
        <v/>
      </c>
      <c r="K15" s="9" t="n">
        <v>4</v>
      </c>
      <c r="L15" s="120">
        <f>COUNTIFS('09_WORKOUT_LOG'!$N$4:$N$100, "&gt;="&amp;B15, '09_WORKOUT_LOG'!$N$4:$N$100, "&lt;="&amp;C15, '09_WORKOUT_LOG'!$R$4:$R$100, "Hoàn thành*")</f>
        <v/>
      </c>
      <c r="M15" s="63">
        <f>IF(K15="", "", L15/K15)</f>
        <v/>
      </c>
      <c r="N15" s="77">
        <f>IFERROR(AVERAGEIFS('10_BODY_WEIGHT_LOG'!$I$4:$I$171, '10_BODY_WEIGHT_LOG'!$A$4:$A$171, "&gt;="&amp;B15, '10_BODY_WEIGHT_LOG'!$A$4:$A$171, "&lt;="&amp;C15), "")</f>
        <v/>
      </c>
      <c r="O15" s="13" t="n"/>
      <c r="P15" s="13" t="n"/>
      <c r="Q15" s="13" t="n"/>
      <c r="R15" s="13" t="n"/>
    </row>
    <row r="16" ht="22" customHeight="1">
      <c r="A16" s="9" t="inlineStr">
        <is>
          <t>Tuần 13</t>
        </is>
      </c>
      <c r="B16" s="61" t="n">
        <v>46398</v>
      </c>
      <c r="C16" s="61" t="n">
        <v>46404</v>
      </c>
      <c r="D16" s="70">
        <f>IFERROR(AVERAGEIFS('10_BODY_WEIGHT_LOG'!$C$4:$C$171, '10_BODY_WEIGHT_LOG'!$A$4:$A$171, "&gt;="&amp;B16, '10_BODY_WEIGHT_LOG'!$A$4:$A$171, "&lt;="&amp;C16), "")</f>
        <v/>
      </c>
      <c r="E16" s="69">
        <f>IF(OR(D16="", D15=""), "-", D16-D15)</f>
        <v/>
      </c>
      <c r="F16" s="9">
        <f>COUNTIFS('06_DAILY_NUTRITION_LOG'!$N$5:$N$172, "&gt;="&amp;B16, '06_DAILY_NUTRITION_LOG'!$N$5:$N$172, "&lt;="&amp;C16, '06_DAILY_NUTRITION_LOG'!$V$5:$V$172, "COMPLETE*")</f>
        <v/>
      </c>
      <c r="G16" s="62">
        <f>IFERROR(AVERAGEIFS('06_DAILY_NUTRITION_LOG'!$P$5:$P$172, '06_DAILY_NUTRITION_LOG'!$N$5:$N$172, "&gt;="&amp;B16, '06_DAILY_NUTRITION_LOG'!$N$5:$N$172, "&lt;="&amp;C16, '06_DAILY_NUTRITION_LOG'!$V$5:$V$172, "COMPLETE*"), "")</f>
        <v/>
      </c>
      <c r="H16" s="119">
        <f>IFERROR(AVERAGEIFS('06_DAILY_NUTRITION_LOG'!$Q$5:$Q$172, '06_DAILY_NUTRITION_LOG'!$N$5:$N$172, "&gt;="&amp;B16, '06_DAILY_NUTRITION_LOG'!$N$5:$N$172, "&lt;="&amp;C16, '06_DAILY_NUTRITION_LOG'!$V$5:$V$172, "COMPLETE*"), "")</f>
        <v/>
      </c>
      <c r="I16" s="63">
        <f>IF(G16="", "", G16/'02_NUTRITION_SETUP'!$C$20)</f>
        <v/>
      </c>
      <c r="J16" s="63">
        <f>IF(H16="", "", H16/'02_NUTRITION_SETUP'!$C$21)</f>
        <v/>
      </c>
      <c r="K16" s="9" t="n">
        <v>4</v>
      </c>
      <c r="L16" s="120">
        <f>COUNTIFS('09_WORKOUT_LOG'!$N$4:$N$100, "&gt;="&amp;B16, '09_WORKOUT_LOG'!$N$4:$N$100, "&lt;="&amp;C16, '09_WORKOUT_LOG'!$R$4:$R$100, "Hoàn thành*")</f>
        <v/>
      </c>
      <c r="M16" s="63">
        <f>IF(K16="", "", L16/K16)</f>
        <v/>
      </c>
      <c r="N16" s="77">
        <f>IFERROR(AVERAGEIFS('10_BODY_WEIGHT_LOG'!$I$4:$I$171, '10_BODY_WEIGHT_LOG'!$A$4:$A$171, "&gt;="&amp;B16, '10_BODY_WEIGHT_LOG'!$A$4:$A$171, "&lt;="&amp;C16), "")</f>
        <v/>
      </c>
      <c r="O16" s="13" t="n"/>
      <c r="P16" s="13" t="n"/>
      <c r="Q16" s="13" t="n"/>
      <c r="R16" s="13" t="n"/>
    </row>
    <row r="17" ht="22" customHeight="1">
      <c r="A17" s="9" t="inlineStr">
        <is>
          <t>Tuần 14</t>
        </is>
      </c>
      <c r="B17" s="61" t="n">
        <v>46405</v>
      </c>
      <c r="C17" s="61" t="n">
        <v>46411</v>
      </c>
      <c r="D17" s="70">
        <f>IFERROR(AVERAGEIFS('10_BODY_WEIGHT_LOG'!$C$4:$C$171, '10_BODY_WEIGHT_LOG'!$A$4:$A$171, "&gt;="&amp;B17, '10_BODY_WEIGHT_LOG'!$A$4:$A$171, "&lt;="&amp;C17), "")</f>
        <v/>
      </c>
      <c r="E17" s="69">
        <f>IF(OR(D17="", D16=""), "-", D17-D16)</f>
        <v/>
      </c>
      <c r="F17" s="9">
        <f>COUNTIFS('06_DAILY_NUTRITION_LOG'!$N$5:$N$172, "&gt;="&amp;B17, '06_DAILY_NUTRITION_LOG'!$N$5:$N$172, "&lt;="&amp;C17, '06_DAILY_NUTRITION_LOG'!$V$5:$V$172, "COMPLETE*")</f>
        <v/>
      </c>
      <c r="G17" s="62">
        <f>IFERROR(AVERAGEIFS('06_DAILY_NUTRITION_LOG'!$P$5:$P$172, '06_DAILY_NUTRITION_LOG'!$N$5:$N$172, "&gt;="&amp;B17, '06_DAILY_NUTRITION_LOG'!$N$5:$N$172, "&lt;="&amp;C17, '06_DAILY_NUTRITION_LOG'!$V$5:$V$172, "COMPLETE*"), "")</f>
        <v/>
      </c>
      <c r="H17" s="119">
        <f>IFERROR(AVERAGEIFS('06_DAILY_NUTRITION_LOG'!$Q$5:$Q$172, '06_DAILY_NUTRITION_LOG'!$N$5:$N$172, "&gt;="&amp;B17, '06_DAILY_NUTRITION_LOG'!$N$5:$N$172, "&lt;="&amp;C17, '06_DAILY_NUTRITION_LOG'!$V$5:$V$172, "COMPLETE*"), "")</f>
        <v/>
      </c>
      <c r="I17" s="63">
        <f>IF(G17="", "", G17/'02_NUTRITION_SETUP'!$C$20)</f>
        <v/>
      </c>
      <c r="J17" s="63">
        <f>IF(H17="", "", H17/'02_NUTRITION_SETUP'!$C$21)</f>
        <v/>
      </c>
      <c r="K17" s="9" t="n">
        <v>4</v>
      </c>
      <c r="L17" s="120">
        <f>COUNTIFS('09_WORKOUT_LOG'!$N$4:$N$100, "&gt;="&amp;B17, '09_WORKOUT_LOG'!$N$4:$N$100, "&lt;="&amp;C17, '09_WORKOUT_LOG'!$R$4:$R$100, "Hoàn thành*")</f>
        <v/>
      </c>
      <c r="M17" s="63">
        <f>IF(K17="", "", L17/K17)</f>
        <v/>
      </c>
      <c r="N17" s="77">
        <f>IFERROR(AVERAGEIFS('10_BODY_WEIGHT_LOG'!$I$4:$I$171, '10_BODY_WEIGHT_LOG'!$A$4:$A$171, "&gt;="&amp;B17, '10_BODY_WEIGHT_LOG'!$A$4:$A$171, "&lt;="&amp;C17), "")</f>
        <v/>
      </c>
      <c r="O17" s="13" t="n"/>
      <c r="P17" s="13" t="n"/>
      <c r="Q17" s="13" t="n"/>
      <c r="R17" s="13" t="n"/>
    </row>
    <row r="18" ht="22" customHeight="1">
      <c r="A18" s="9" t="inlineStr">
        <is>
          <t>Tuần 15</t>
        </is>
      </c>
      <c r="B18" s="61" t="n">
        <v>46412</v>
      </c>
      <c r="C18" s="61" t="n">
        <v>46418</v>
      </c>
      <c r="D18" s="70">
        <f>IFERROR(AVERAGEIFS('10_BODY_WEIGHT_LOG'!$C$4:$C$171, '10_BODY_WEIGHT_LOG'!$A$4:$A$171, "&gt;="&amp;B18, '10_BODY_WEIGHT_LOG'!$A$4:$A$171, "&lt;="&amp;C18), "")</f>
        <v/>
      </c>
      <c r="E18" s="69">
        <f>IF(OR(D18="", D17=""), "-", D18-D17)</f>
        <v/>
      </c>
      <c r="F18" s="9">
        <f>COUNTIFS('06_DAILY_NUTRITION_LOG'!$N$5:$N$172, "&gt;="&amp;B18, '06_DAILY_NUTRITION_LOG'!$N$5:$N$172, "&lt;="&amp;C18, '06_DAILY_NUTRITION_LOG'!$V$5:$V$172, "COMPLETE*")</f>
        <v/>
      </c>
      <c r="G18" s="62">
        <f>IFERROR(AVERAGEIFS('06_DAILY_NUTRITION_LOG'!$P$5:$P$172, '06_DAILY_NUTRITION_LOG'!$N$5:$N$172, "&gt;="&amp;B18, '06_DAILY_NUTRITION_LOG'!$N$5:$N$172, "&lt;="&amp;C18, '06_DAILY_NUTRITION_LOG'!$V$5:$V$172, "COMPLETE*"), "")</f>
        <v/>
      </c>
      <c r="H18" s="119">
        <f>IFERROR(AVERAGEIFS('06_DAILY_NUTRITION_LOG'!$Q$5:$Q$172, '06_DAILY_NUTRITION_LOG'!$N$5:$N$172, "&gt;="&amp;B18, '06_DAILY_NUTRITION_LOG'!$N$5:$N$172, "&lt;="&amp;C18, '06_DAILY_NUTRITION_LOG'!$V$5:$V$172, "COMPLETE*"), "")</f>
        <v/>
      </c>
      <c r="I18" s="63">
        <f>IF(G18="", "", G18/'02_NUTRITION_SETUP'!$C$20)</f>
        <v/>
      </c>
      <c r="J18" s="63">
        <f>IF(H18="", "", H18/'02_NUTRITION_SETUP'!$C$21)</f>
        <v/>
      </c>
      <c r="K18" s="9" t="n">
        <v>4</v>
      </c>
      <c r="L18" s="120">
        <f>COUNTIFS('09_WORKOUT_LOG'!$N$4:$N$100, "&gt;="&amp;B18, '09_WORKOUT_LOG'!$N$4:$N$100, "&lt;="&amp;C18, '09_WORKOUT_LOG'!$R$4:$R$100, "Hoàn thành*")</f>
        <v/>
      </c>
      <c r="M18" s="63">
        <f>IF(K18="", "", L18/K18)</f>
        <v/>
      </c>
      <c r="N18" s="77">
        <f>IFERROR(AVERAGEIFS('10_BODY_WEIGHT_LOG'!$I$4:$I$171, '10_BODY_WEIGHT_LOG'!$A$4:$A$171, "&gt;="&amp;B18, '10_BODY_WEIGHT_LOG'!$A$4:$A$171, "&lt;="&amp;C18), "")</f>
        <v/>
      </c>
      <c r="O18" s="13" t="n"/>
      <c r="P18" s="13" t="n"/>
      <c r="Q18" s="13" t="n"/>
      <c r="R18" s="13" t="n"/>
    </row>
    <row r="19" ht="22" customHeight="1">
      <c r="A19" s="9" t="inlineStr">
        <is>
          <t>Tuần 16</t>
        </is>
      </c>
      <c r="B19" s="61" t="n">
        <v>46419</v>
      </c>
      <c r="C19" s="61" t="n">
        <v>46425</v>
      </c>
      <c r="D19" s="70">
        <f>IFERROR(AVERAGEIFS('10_BODY_WEIGHT_LOG'!$C$4:$C$171, '10_BODY_WEIGHT_LOG'!$A$4:$A$171, "&gt;="&amp;B19, '10_BODY_WEIGHT_LOG'!$A$4:$A$171, "&lt;="&amp;C19), "")</f>
        <v/>
      </c>
      <c r="E19" s="69">
        <f>IF(OR(D19="", D18=""), "-", D19-D18)</f>
        <v/>
      </c>
      <c r="F19" s="9">
        <f>COUNTIFS('06_DAILY_NUTRITION_LOG'!$N$5:$N$172, "&gt;="&amp;B19, '06_DAILY_NUTRITION_LOG'!$N$5:$N$172, "&lt;="&amp;C19, '06_DAILY_NUTRITION_LOG'!$V$5:$V$172, "COMPLETE*")</f>
        <v/>
      </c>
      <c r="G19" s="62">
        <f>IFERROR(AVERAGEIFS('06_DAILY_NUTRITION_LOG'!$P$5:$P$172, '06_DAILY_NUTRITION_LOG'!$N$5:$N$172, "&gt;="&amp;B19, '06_DAILY_NUTRITION_LOG'!$N$5:$N$172, "&lt;="&amp;C19, '06_DAILY_NUTRITION_LOG'!$V$5:$V$172, "COMPLETE*"), "")</f>
        <v/>
      </c>
      <c r="H19" s="119">
        <f>IFERROR(AVERAGEIFS('06_DAILY_NUTRITION_LOG'!$Q$5:$Q$172, '06_DAILY_NUTRITION_LOG'!$N$5:$N$172, "&gt;="&amp;B19, '06_DAILY_NUTRITION_LOG'!$N$5:$N$172, "&lt;="&amp;C19, '06_DAILY_NUTRITION_LOG'!$V$5:$V$172, "COMPLETE*"), "")</f>
        <v/>
      </c>
      <c r="I19" s="63">
        <f>IF(G19="", "", G19/'02_NUTRITION_SETUP'!$C$20)</f>
        <v/>
      </c>
      <c r="J19" s="63">
        <f>IF(H19="", "", H19/'02_NUTRITION_SETUP'!$C$21)</f>
        <v/>
      </c>
      <c r="K19" s="9" t="n">
        <v>4</v>
      </c>
      <c r="L19" s="120">
        <f>COUNTIFS('09_WORKOUT_LOG'!$N$4:$N$100, "&gt;="&amp;B19, '09_WORKOUT_LOG'!$N$4:$N$100, "&lt;="&amp;C19, '09_WORKOUT_LOG'!$R$4:$R$100, "Hoàn thành*")</f>
        <v/>
      </c>
      <c r="M19" s="63">
        <f>IF(K19="", "", L19/K19)</f>
        <v/>
      </c>
      <c r="N19" s="77">
        <f>IFERROR(AVERAGEIFS('10_BODY_WEIGHT_LOG'!$I$4:$I$171, '10_BODY_WEIGHT_LOG'!$A$4:$A$171, "&gt;="&amp;B19, '10_BODY_WEIGHT_LOG'!$A$4:$A$171, "&lt;="&amp;C19), "")</f>
        <v/>
      </c>
      <c r="O19" s="13" t="n"/>
      <c r="P19" s="13" t="n"/>
      <c r="Q19" s="13" t="n"/>
      <c r="R19" s="13" t="n"/>
    </row>
    <row r="20" ht="22" customHeight="1">
      <c r="A20" s="9" t="inlineStr">
        <is>
          <t>Tuần 17</t>
        </is>
      </c>
      <c r="B20" s="61" t="n">
        <v>46426</v>
      </c>
      <c r="C20" s="61" t="n">
        <v>46432</v>
      </c>
      <c r="D20" s="70">
        <f>IFERROR(AVERAGEIFS('10_BODY_WEIGHT_LOG'!$C$4:$C$171, '10_BODY_WEIGHT_LOG'!$A$4:$A$171, "&gt;="&amp;B20, '10_BODY_WEIGHT_LOG'!$A$4:$A$171, "&lt;="&amp;C20), "")</f>
        <v/>
      </c>
      <c r="E20" s="69">
        <f>IF(OR(D20="", D19=""), "-", D20-D19)</f>
        <v/>
      </c>
      <c r="F20" s="9">
        <f>COUNTIFS('06_DAILY_NUTRITION_LOG'!$N$5:$N$172, "&gt;="&amp;B20, '06_DAILY_NUTRITION_LOG'!$N$5:$N$172, "&lt;="&amp;C20, '06_DAILY_NUTRITION_LOG'!$V$5:$V$172, "COMPLETE*")</f>
        <v/>
      </c>
      <c r="G20" s="62">
        <f>IFERROR(AVERAGEIFS('06_DAILY_NUTRITION_LOG'!$P$5:$P$172, '06_DAILY_NUTRITION_LOG'!$N$5:$N$172, "&gt;="&amp;B20, '06_DAILY_NUTRITION_LOG'!$N$5:$N$172, "&lt;="&amp;C20, '06_DAILY_NUTRITION_LOG'!$V$5:$V$172, "COMPLETE*"), "")</f>
        <v/>
      </c>
      <c r="H20" s="119">
        <f>IFERROR(AVERAGEIFS('06_DAILY_NUTRITION_LOG'!$Q$5:$Q$172, '06_DAILY_NUTRITION_LOG'!$N$5:$N$172, "&gt;="&amp;B20, '06_DAILY_NUTRITION_LOG'!$N$5:$N$172, "&lt;="&amp;C20, '06_DAILY_NUTRITION_LOG'!$V$5:$V$172, "COMPLETE*"), "")</f>
        <v/>
      </c>
      <c r="I20" s="63">
        <f>IF(G20="", "", G20/'02_NUTRITION_SETUP'!$C$20)</f>
        <v/>
      </c>
      <c r="J20" s="63">
        <f>IF(H20="", "", H20/'02_NUTRITION_SETUP'!$C$21)</f>
        <v/>
      </c>
      <c r="K20" s="9" t="n">
        <v>4</v>
      </c>
      <c r="L20" s="120">
        <f>COUNTIFS('09_WORKOUT_LOG'!$N$4:$N$100, "&gt;="&amp;B20, '09_WORKOUT_LOG'!$N$4:$N$100, "&lt;="&amp;C20, '09_WORKOUT_LOG'!$R$4:$R$100, "Hoàn thành*")</f>
        <v/>
      </c>
      <c r="M20" s="63">
        <f>IF(K20="", "", L20/K20)</f>
        <v/>
      </c>
      <c r="N20" s="77">
        <f>IFERROR(AVERAGEIFS('10_BODY_WEIGHT_LOG'!$I$4:$I$171, '10_BODY_WEIGHT_LOG'!$A$4:$A$171, "&gt;="&amp;B20, '10_BODY_WEIGHT_LOG'!$A$4:$A$171, "&lt;="&amp;C20), "")</f>
        <v/>
      </c>
      <c r="O20" s="13" t="n"/>
      <c r="P20" s="13" t="n"/>
      <c r="Q20" s="13" t="n"/>
      <c r="R20" s="13" t="n"/>
    </row>
    <row r="21" ht="22" customHeight="1">
      <c r="A21" s="9" t="inlineStr">
        <is>
          <t>Tuần 18</t>
        </is>
      </c>
      <c r="B21" s="61" t="n">
        <v>46433</v>
      </c>
      <c r="C21" s="61" t="n">
        <v>46439</v>
      </c>
      <c r="D21" s="70">
        <f>IFERROR(AVERAGEIFS('10_BODY_WEIGHT_LOG'!$C$4:$C$171, '10_BODY_WEIGHT_LOG'!$A$4:$A$171, "&gt;="&amp;B21, '10_BODY_WEIGHT_LOG'!$A$4:$A$171, "&lt;="&amp;C21), "")</f>
        <v/>
      </c>
      <c r="E21" s="69">
        <f>IF(OR(D21="", D20=""), "-", D21-D20)</f>
        <v/>
      </c>
      <c r="F21" s="9">
        <f>COUNTIFS('06_DAILY_NUTRITION_LOG'!$N$5:$N$172, "&gt;="&amp;B21, '06_DAILY_NUTRITION_LOG'!$N$5:$N$172, "&lt;="&amp;C21, '06_DAILY_NUTRITION_LOG'!$V$5:$V$172, "COMPLETE*")</f>
        <v/>
      </c>
      <c r="G21" s="62">
        <f>IFERROR(AVERAGEIFS('06_DAILY_NUTRITION_LOG'!$P$5:$P$172, '06_DAILY_NUTRITION_LOG'!$N$5:$N$172, "&gt;="&amp;B21, '06_DAILY_NUTRITION_LOG'!$N$5:$N$172, "&lt;="&amp;C21, '06_DAILY_NUTRITION_LOG'!$V$5:$V$172, "COMPLETE*"), "")</f>
        <v/>
      </c>
      <c r="H21" s="119">
        <f>IFERROR(AVERAGEIFS('06_DAILY_NUTRITION_LOG'!$Q$5:$Q$172, '06_DAILY_NUTRITION_LOG'!$N$5:$N$172, "&gt;="&amp;B21, '06_DAILY_NUTRITION_LOG'!$N$5:$N$172, "&lt;="&amp;C21, '06_DAILY_NUTRITION_LOG'!$V$5:$V$172, "COMPLETE*"), "")</f>
        <v/>
      </c>
      <c r="I21" s="63">
        <f>IF(G21="", "", G21/'02_NUTRITION_SETUP'!$C$20)</f>
        <v/>
      </c>
      <c r="J21" s="63">
        <f>IF(H21="", "", H21/'02_NUTRITION_SETUP'!$C$21)</f>
        <v/>
      </c>
      <c r="K21" s="9" t="n">
        <v>4</v>
      </c>
      <c r="L21" s="120">
        <f>COUNTIFS('09_WORKOUT_LOG'!$N$4:$N$100, "&gt;="&amp;B21, '09_WORKOUT_LOG'!$N$4:$N$100, "&lt;="&amp;C21, '09_WORKOUT_LOG'!$R$4:$R$100, "Hoàn thành*")</f>
        <v/>
      </c>
      <c r="M21" s="63">
        <f>IF(K21="", "", L21/K21)</f>
        <v/>
      </c>
      <c r="N21" s="77">
        <f>IFERROR(AVERAGEIFS('10_BODY_WEIGHT_LOG'!$I$4:$I$171, '10_BODY_WEIGHT_LOG'!$A$4:$A$171, "&gt;="&amp;B21, '10_BODY_WEIGHT_LOG'!$A$4:$A$171, "&lt;="&amp;C21), "")</f>
        <v/>
      </c>
      <c r="O21" s="13" t="n"/>
      <c r="P21" s="13" t="n"/>
      <c r="Q21" s="13" t="n"/>
      <c r="R21" s="13" t="n"/>
    </row>
    <row r="22" ht="22" customHeight="1">
      <c r="A22" s="9" t="inlineStr">
        <is>
          <t>Tuần 19</t>
        </is>
      </c>
      <c r="B22" s="61" t="n">
        <v>46440</v>
      </c>
      <c r="C22" s="61" t="n">
        <v>46446</v>
      </c>
      <c r="D22" s="70">
        <f>IFERROR(AVERAGEIFS('10_BODY_WEIGHT_LOG'!$C$4:$C$171, '10_BODY_WEIGHT_LOG'!$A$4:$A$171, "&gt;="&amp;B22, '10_BODY_WEIGHT_LOG'!$A$4:$A$171, "&lt;="&amp;C22), "")</f>
        <v/>
      </c>
      <c r="E22" s="69">
        <f>IF(OR(D22="", D21=""), "-", D22-D21)</f>
        <v/>
      </c>
      <c r="F22" s="9">
        <f>COUNTIFS('06_DAILY_NUTRITION_LOG'!$N$5:$N$172, "&gt;="&amp;B22, '06_DAILY_NUTRITION_LOG'!$N$5:$N$172, "&lt;="&amp;C22, '06_DAILY_NUTRITION_LOG'!$V$5:$V$172, "COMPLETE*")</f>
        <v/>
      </c>
      <c r="G22" s="62">
        <f>IFERROR(AVERAGEIFS('06_DAILY_NUTRITION_LOG'!$P$5:$P$172, '06_DAILY_NUTRITION_LOG'!$N$5:$N$172, "&gt;="&amp;B22, '06_DAILY_NUTRITION_LOG'!$N$5:$N$172, "&lt;="&amp;C22, '06_DAILY_NUTRITION_LOG'!$V$5:$V$172, "COMPLETE*"), "")</f>
        <v/>
      </c>
      <c r="H22" s="119">
        <f>IFERROR(AVERAGEIFS('06_DAILY_NUTRITION_LOG'!$Q$5:$Q$172, '06_DAILY_NUTRITION_LOG'!$N$5:$N$172, "&gt;="&amp;B22, '06_DAILY_NUTRITION_LOG'!$N$5:$N$172, "&lt;="&amp;C22, '06_DAILY_NUTRITION_LOG'!$V$5:$V$172, "COMPLETE*"), "")</f>
        <v/>
      </c>
      <c r="I22" s="63">
        <f>IF(G22="", "", G22/'02_NUTRITION_SETUP'!$C$20)</f>
        <v/>
      </c>
      <c r="J22" s="63">
        <f>IF(H22="", "", H22/'02_NUTRITION_SETUP'!$C$21)</f>
        <v/>
      </c>
      <c r="K22" s="9" t="n">
        <v>4</v>
      </c>
      <c r="L22" s="120">
        <f>COUNTIFS('09_WORKOUT_LOG'!$N$4:$N$100, "&gt;="&amp;B22, '09_WORKOUT_LOG'!$N$4:$N$100, "&lt;="&amp;C22, '09_WORKOUT_LOG'!$R$4:$R$100, "Hoàn thành*")</f>
        <v/>
      </c>
      <c r="M22" s="63">
        <f>IF(K22="", "", L22/K22)</f>
        <v/>
      </c>
      <c r="N22" s="77">
        <f>IFERROR(AVERAGEIFS('10_BODY_WEIGHT_LOG'!$I$4:$I$171, '10_BODY_WEIGHT_LOG'!$A$4:$A$171, "&gt;="&amp;B22, '10_BODY_WEIGHT_LOG'!$A$4:$A$171, "&lt;="&amp;C22), "")</f>
        <v/>
      </c>
      <c r="O22" s="13" t="n"/>
      <c r="P22" s="13" t="n"/>
      <c r="Q22" s="13" t="n"/>
      <c r="R22" s="13" t="n"/>
    </row>
    <row r="23" ht="22" customHeight="1">
      <c r="A23" s="9" t="inlineStr">
        <is>
          <t>Tuần 20</t>
        </is>
      </c>
      <c r="B23" s="61" t="n">
        <v>46447</v>
      </c>
      <c r="C23" s="61" t="n">
        <v>46453</v>
      </c>
      <c r="D23" s="70">
        <f>IFERROR(AVERAGEIFS('10_BODY_WEIGHT_LOG'!$C$4:$C$171, '10_BODY_WEIGHT_LOG'!$A$4:$A$171, "&gt;="&amp;B23, '10_BODY_WEIGHT_LOG'!$A$4:$A$171, "&lt;="&amp;C23), "")</f>
        <v/>
      </c>
      <c r="E23" s="69">
        <f>IF(OR(D23="", D22=""), "-", D23-D22)</f>
        <v/>
      </c>
      <c r="F23" s="9">
        <f>COUNTIFS('06_DAILY_NUTRITION_LOG'!$N$5:$N$172, "&gt;="&amp;B23, '06_DAILY_NUTRITION_LOG'!$N$5:$N$172, "&lt;="&amp;C23, '06_DAILY_NUTRITION_LOG'!$V$5:$V$172, "COMPLETE*")</f>
        <v/>
      </c>
      <c r="G23" s="62">
        <f>IFERROR(AVERAGEIFS('06_DAILY_NUTRITION_LOG'!$P$5:$P$172, '06_DAILY_NUTRITION_LOG'!$N$5:$N$172, "&gt;="&amp;B23, '06_DAILY_NUTRITION_LOG'!$N$5:$N$172, "&lt;="&amp;C23, '06_DAILY_NUTRITION_LOG'!$V$5:$V$172, "COMPLETE*"), "")</f>
        <v/>
      </c>
      <c r="H23" s="119">
        <f>IFERROR(AVERAGEIFS('06_DAILY_NUTRITION_LOG'!$Q$5:$Q$172, '06_DAILY_NUTRITION_LOG'!$N$5:$N$172, "&gt;="&amp;B23, '06_DAILY_NUTRITION_LOG'!$N$5:$N$172, "&lt;="&amp;C23, '06_DAILY_NUTRITION_LOG'!$V$5:$V$172, "COMPLETE*"), "")</f>
        <v/>
      </c>
      <c r="I23" s="63">
        <f>IF(G23="", "", G23/'02_NUTRITION_SETUP'!$C$20)</f>
        <v/>
      </c>
      <c r="J23" s="63">
        <f>IF(H23="", "", H23/'02_NUTRITION_SETUP'!$C$21)</f>
        <v/>
      </c>
      <c r="K23" s="9" t="n">
        <v>4</v>
      </c>
      <c r="L23" s="120">
        <f>COUNTIFS('09_WORKOUT_LOG'!$N$4:$N$100, "&gt;="&amp;B23, '09_WORKOUT_LOG'!$N$4:$N$100, "&lt;="&amp;C23, '09_WORKOUT_LOG'!$R$4:$R$100, "Hoàn thành*")</f>
        <v/>
      </c>
      <c r="M23" s="63">
        <f>IF(K23="", "", L23/K23)</f>
        <v/>
      </c>
      <c r="N23" s="77">
        <f>IFERROR(AVERAGEIFS('10_BODY_WEIGHT_LOG'!$I$4:$I$171, '10_BODY_WEIGHT_LOG'!$A$4:$A$171, "&gt;="&amp;B23, '10_BODY_WEIGHT_LOG'!$A$4:$A$171, "&lt;="&amp;C23), "")</f>
        <v/>
      </c>
      <c r="O23" s="13" t="n"/>
      <c r="P23" s="13" t="n"/>
      <c r="Q23" s="13" t="n"/>
      <c r="R23" s="13" t="n"/>
    </row>
    <row r="24" ht="22" customHeight="1">
      <c r="A24" s="9" t="inlineStr">
        <is>
          <t>Tuần 21</t>
        </is>
      </c>
      <c r="B24" s="61" t="n">
        <v>46454</v>
      </c>
      <c r="C24" s="61" t="n">
        <v>46460</v>
      </c>
      <c r="D24" s="70">
        <f>IFERROR(AVERAGEIFS('10_BODY_WEIGHT_LOG'!$C$4:$C$171, '10_BODY_WEIGHT_LOG'!$A$4:$A$171, "&gt;="&amp;B24, '10_BODY_WEIGHT_LOG'!$A$4:$A$171, "&lt;="&amp;C24), "")</f>
        <v/>
      </c>
      <c r="E24" s="69">
        <f>IF(OR(D24="", D23=""), "-", D24-D23)</f>
        <v/>
      </c>
      <c r="F24" s="9">
        <f>COUNTIFS('06_DAILY_NUTRITION_LOG'!$N$5:$N$172, "&gt;="&amp;B24, '06_DAILY_NUTRITION_LOG'!$N$5:$N$172, "&lt;="&amp;C24, '06_DAILY_NUTRITION_LOG'!$V$5:$V$172, "COMPLETE*")</f>
        <v/>
      </c>
      <c r="G24" s="62">
        <f>IFERROR(AVERAGEIFS('06_DAILY_NUTRITION_LOG'!$P$5:$P$172, '06_DAILY_NUTRITION_LOG'!$N$5:$N$172, "&gt;="&amp;B24, '06_DAILY_NUTRITION_LOG'!$N$5:$N$172, "&lt;="&amp;C24, '06_DAILY_NUTRITION_LOG'!$V$5:$V$172, "COMPLETE*"), "")</f>
        <v/>
      </c>
      <c r="H24" s="119">
        <f>IFERROR(AVERAGEIFS('06_DAILY_NUTRITION_LOG'!$Q$5:$Q$172, '06_DAILY_NUTRITION_LOG'!$N$5:$N$172, "&gt;="&amp;B24, '06_DAILY_NUTRITION_LOG'!$N$5:$N$172, "&lt;="&amp;C24, '06_DAILY_NUTRITION_LOG'!$V$5:$V$172, "COMPLETE*"), "")</f>
        <v/>
      </c>
      <c r="I24" s="63">
        <f>IF(G24="", "", G24/'02_NUTRITION_SETUP'!$C$20)</f>
        <v/>
      </c>
      <c r="J24" s="63">
        <f>IF(H24="", "", H24/'02_NUTRITION_SETUP'!$C$21)</f>
        <v/>
      </c>
      <c r="K24" s="9" t="n">
        <v>4</v>
      </c>
      <c r="L24" s="120">
        <f>COUNTIFS('09_WORKOUT_LOG'!$N$4:$N$100, "&gt;="&amp;B24, '09_WORKOUT_LOG'!$N$4:$N$100, "&lt;="&amp;C24, '09_WORKOUT_LOG'!$R$4:$R$100, "Hoàn thành*")</f>
        <v/>
      </c>
      <c r="M24" s="63">
        <f>IF(K24="", "", L24/K24)</f>
        <v/>
      </c>
      <c r="N24" s="77">
        <f>IFERROR(AVERAGEIFS('10_BODY_WEIGHT_LOG'!$I$4:$I$171, '10_BODY_WEIGHT_LOG'!$A$4:$A$171, "&gt;="&amp;B24, '10_BODY_WEIGHT_LOG'!$A$4:$A$171, "&lt;="&amp;C24), "")</f>
        <v/>
      </c>
      <c r="O24" s="13" t="n"/>
      <c r="P24" s="13" t="n"/>
      <c r="Q24" s="13" t="n"/>
      <c r="R24" s="13" t="n"/>
    </row>
    <row r="25" ht="22" customHeight="1">
      <c r="A25" s="9" t="inlineStr">
        <is>
          <t>Tuần 22</t>
        </is>
      </c>
      <c r="B25" s="61" t="n">
        <v>46461</v>
      </c>
      <c r="C25" s="61" t="n">
        <v>46467</v>
      </c>
      <c r="D25" s="70">
        <f>IFERROR(AVERAGEIFS('10_BODY_WEIGHT_LOG'!$C$4:$C$171, '10_BODY_WEIGHT_LOG'!$A$4:$A$171, "&gt;="&amp;B25, '10_BODY_WEIGHT_LOG'!$A$4:$A$171, "&lt;="&amp;C25), "")</f>
        <v/>
      </c>
      <c r="E25" s="69">
        <f>IF(OR(D25="", D24=""), "-", D25-D24)</f>
        <v/>
      </c>
      <c r="F25" s="9">
        <f>COUNTIFS('06_DAILY_NUTRITION_LOG'!$N$5:$N$172, "&gt;="&amp;B25, '06_DAILY_NUTRITION_LOG'!$N$5:$N$172, "&lt;="&amp;C25, '06_DAILY_NUTRITION_LOG'!$V$5:$V$172, "COMPLETE*")</f>
        <v/>
      </c>
      <c r="G25" s="62">
        <f>IFERROR(AVERAGEIFS('06_DAILY_NUTRITION_LOG'!$P$5:$P$172, '06_DAILY_NUTRITION_LOG'!$N$5:$N$172, "&gt;="&amp;B25, '06_DAILY_NUTRITION_LOG'!$N$5:$N$172, "&lt;="&amp;C25, '06_DAILY_NUTRITION_LOG'!$V$5:$V$172, "COMPLETE*"), "")</f>
        <v/>
      </c>
      <c r="H25" s="119">
        <f>IFERROR(AVERAGEIFS('06_DAILY_NUTRITION_LOG'!$Q$5:$Q$172, '06_DAILY_NUTRITION_LOG'!$N$5:$N$172, "&gt;="&amp;B25, '06_DAILY_NUTRITION_LOG'!$N$5:$N$172, "&lt;="&amp;C25, '06_DAILY_NUTRITION_LOG'!$V$5:$V$172, "COMPLETE*"), "")</f>
        <v/>
      </c>
      <c r="I25" s="63">
        <f>IF(G25="", "", G25/'02_NUTRITION_SETUP'!$C$20)</f>
        <v/>
      </c>
      <c r="J25" s="63">
        <f>IF(H25="", "", H25/'02_NUTRITION_SETUP'!$C$21)</f>
        <v/>
      </c>
      <c r="K25" s="9" t="n">
        <v>4</v>
      </c>
      <c r="L25" s="120">
        <f>COUNTIFS('09_WORKOUT_LOG'!$N$4:$N$100, "&gt;="&amp;B25, '09_WORKOUT_LOG'!$N$4:$N$100, "&lt;="&amp;C25, '09_WORKOUT_LOG'!$R$4:$R$100, "Hoàn thành*")</f>
        <v/>
      </c>
      <c r="M25" s="63">
        <f>IF(K25="", "", L25/K25)</f>
        <v/>
      </c>
      <c r="N25" s="77">
        <f>IFERROR(AVERAGEIFS('10_BODY_WEIGHT_LOG'!$I$4:$I$171, '10_BODY_WEIGHT_LOG'!$A$4:$A$171, "&gt;="&amp;B25, '10_BODY_WEIGHT_LOG'!$A$4:$A$171, "&lt;="&amp;C25), "")</f>
        <v/>
      </c>
      <c r="O25" s="13" t="n"/>
      <c r="P25" s="13" t="n"/>
      <c r="Q25" s="13" t="n"/>
      <c r="R25" s="13" t="n"/>
    </row>
    <row r="26" ht="22" customHeight="1">
      <c r="A26" s="9" t="inlineStr">
        <is>
          <t>Tuần 23</t>
        </is>
      </c>
      <c r="B26" s="61" t="n">
        <v>46468</v>
      </c>
      <c r="C26" s="61" t="n">
        <v>46474</v>
      </c>
      <c r="D26" s="70">
        <f>IFERROR(AVERAGEIFS('10_BODY_WEIGHT_LOG'!$C$4:$C$171, '10_BODY_WEIGHT_LOG'!$A$4:$A$171, "&gt;="&amp;B26, '10_BODY_WEIGHT_LOG'!$A$4:$A$171, "&lt;="&amp;C26), "")</f>
        <v/>
      </c>
      <c r="E26" s="69">
        <f>IF(OR(D26="", D25=""), "-", D26-D25)</f>
        <v/>
      </c>
      <c r="F26" s="9">
        <f>COUNTIFS('06_DAILY_NUTRITION_LOG'!$N$5:$N$172, "&gt;="&amp;B26, '06_DAILY_NUTRITION_LOG'!$N$5:$N$172, "&lt;="&amp;C26, '06_DAILY_NUTRITION_LOG'!$V$5:$V$172, "COMPLETE*")</f>
        <v/>
      </c>
      <c r="G26" s="62">
        <f>IFERROR(AVERAGEIFS('06_DAILY_NUTRITION_LOG'!$P$5:$P$172, '06_DAILY_NUTRITION_LOG'!$N$5:$N$172, "&gt;="&amp;B26, '06_DAILY_NUTRITION_LOG'!$N$5:$N$172, "&lt;="&amp;C26, '06_DAILY_NUTRITION_LOG'!$V$5:$V$172, "COMPLETE*"), "")</f>
        <v/>
      </c>
      <c r="H26" s="119">
        <f>IFERROR(AVERAGEIFS('06_DAILY_NUTRITION_LOG'!$Q$5:$Q$172, '06_DAILY_NUTRITION_LOG'!$N$5:$N$172, "&gt;="&amp;B26, '06_DAILY_NUTRITION_LOG'!$N$5:$N$172, "&lt;="&amp;C26, '06_DAILY_NUTRITION_LOG'!$V$5:$V$172, "COMPLETE*"), "")</f>
        <v/>
      </c>
      <c r="I26" s="63">
        <f>IF(G26="", "", G26/'02_NUTRITION_SETUP'!$C$20)</f>
        <v/>
      </c>
      <c r="J26" s="63">
        <f>IF(H26="", "", H26/'02_NUTRITION_SETUP'!$C$21)</f>
        <v/>
      </c>
      <c r="K26" s="9" t="n">
        <v>4</v>
      </c>
      <c r="L26" s="120">
        <f>COUNTIFS('09_WORKOUT_LOG'!$N$4:$N$100, "&gt;="&amp;B26, '09_WORKOUT_LOG'!$N$4:$N$100, "&lt;="&amp;C26, '09_WORKOUT_LOG'!$R$4:$R$100, "Hoàn thành*")</f>
        <v/>
      </c>
      <c r="M26" s="63">
        <f>IF(K26="", "", L26/K26)</f>
        <v/>
      </c>
      <c r="N26" s="77">
        <f>IFERROR(AVERAGEIFS('10_BODY_WEIGHT_LOG'!$I$4:$I$171, '10_BODY_WEIGHT_LOG'!$A$4:$A$171, "&gt;="&amp;B26, '10_BODY_WEIGHT_LOG'!$A$4:$A$171, "&lt;="&amp;C26), "")</f>
        <v/>
      </c>
      <c r="O26" s="13" t="n"/>
      <c r="P26" s="13" t="n"/>
      <c r="Q26" s="13" t="n"/>
      <c r="R26" s="13" t="n"/>
    </row>
    <row r="27" ht="22" customHeight="1">
      <c r="A27" s="9" t="inlineStr">
        <is>
          <t>Tuần 24</t>
        </is>
      </c>
      <c r="B27" s="61" t="n">
        <v>46475</v>
      </c>
      <c r="C27" s="61" t="n">
        <v>46481</v>
      </c>
      <c r="D27" s="70">
        <f>IFERROR(AVERAGEIFS('10_BODY_WEIGHT_LOG'!$C$4:$C$171, '10_BODY_WEIGHT_LOG'!$A$4:$A$171, "&gt;="&amp;B27, '10_BODY_WEIGHT_LOG'!$A$4:$A$171, "&lt;="&amp;C27), "")</f>
        <v/>
      </c>
      <c r="E27" s="69">
        <f>IF(OR(D27="", D26=""), "-", D27-D26)</f>
        <v/>
      </c>
      <c r="F27" s="9">
        <f>COUNTIFS('06_DAILY_NUTRITION_LOG'!$N$5:$N$172, "&gt;="&amp;B27, '06_DAILY_NUTRITION_LOG'!$N$5:$N$172, "&lt;="&amp;C27, '06_DAILY_NUTRITION_LOG'!$V$5:$V$172, "COMPLETE*")</f>
        <v/>
      </c>
      <c r="G27" s="62">
        <f>IFERROR(AVERAGEIFS('06_DAILY_NUTRITION_LOG'!$P$5:$P$172, '06_DAILY_NUTRITION_LOG'!$N$5:$N$172, "&gt;="&amp;B27, '06_DAILY_NUTRITION_LOG'!$N$5:$N$172, "&lt;="&amp;C27, '06_DAILY_NUTRITION_LOG'!$V$5:$V$172, "COMPLETE*"), "")</f>
        <v/>
      </c>
      <c r="H27" s="119">
        <f>IFERROR(AVERAGEIFS('06_DAILY_NUTRITION_LOG'!$Q$5:$Q$172, '06_DAILY_NUTRITION_LOG'!$N$5:$N$172, "&gt;="&amp;B27, '06_DAILY_NUTRITION_LOG'!$N$5:$N$172, "&lt;="&amp;C27, '06_DAILY_NUTRITION_LOG'!$V$5:$V$172, "COMPLETE*"), "")</f>
        <v/>
      </c>
      <c r="I27" s="63">
        <f>IF(G27="", "", G27/'02_NUTRITION_SETUP'!$C$20)</f>
        <v/>
      </c>
      <c r="J27" s="63">
        <f>IF(H27="", "", H27/'02_NUTRITION_SETUP'!$C$21)</f>
        <v/>
      </c>
      <c r="K27" s="9" t="n">
        <v>4</v>
      </c>
      <c r="L27" s="120">
        <f>COUNTIFS('09_WORKOUT_LOG'!$N$4:$N$100, "&gt;="&amp;B27, '09_WORKOUT_LOG'!$N$4:$N$100, "&lt;="&amp;C27, '09_WORKOUT_LOG'!$R$4:$R$100, "Hoàn thành*")</f>
        <v/>
      </c>
      <c r="M27" s="63">
        <f>IF(K27="", "", L27/K27)</f>
        <v/>
      </c>
      <c r="N27" s="77">
        <f>IFERROR(AVERAGEIFS('10_BODY_WEIGHT_LOG'!$I$4:$I$171, '10_BODY_WEIGHT_LOG'!$A$4:$A$171, "&gt;="&amp;B27, '10_BODY_WEIGHT_LOG'!$A$4:$A$171, "&lt;="&amp;C27), "")</f>
        <v/>
      </c>
      <c r="O27" s="13" t="n"/>
      <c r="P27" s="13" t="n"/>
      <c r="Q27" s="13" t="n"/>
      <c r="R27" s="13" t="n"/>
    </row>
    <row r="30" ht="26" customHeight="1">
      <c r="B30" s="4" t="inlineStr">
        <is>
          <t>KHUNG RA QUYẾT ĐỊNH ĐIỀU CHỈNH CALO &amp; TẬP LUYỆN (DECISION FRAMEWORK MATRIX)</t>
        </is>
      </c>
    </row>
    <row r="31" ht="24" customHeight="1">
      <c r="B31" s="26" t="inlineStr">
        <is>
          <t>Tình Huống 1</t>
        </is>
      </c>
      <c r="C31" s="37" t="inlineStr">
        <is>
          <t>Cân nặng KHÔNG TĂNG trong 2 tuần liên tiếp VÀ Tuân thủ calo &gt;= 85%</t>
        </is>
      </c>
      <c r="D31" s="121" t="n"/>
      <c r="E31" s="121" t="n"/>
      <c r="F31" s="121" t="n"/>
      <c r="G31" s="122" t="n"/>
      <c r="H31" s="38" t="inlineStr">
        <is>
          <t>TĂNG NHẸ CALO: Thêm +150 đến +200 kcal/ngày (Ưu tiên thêm 1 ly sữa hoặc 30g bơ đậu phộng). Tiếp tục theo dõi 2 tuần tiếp theo.</t>
        </is>
      </c>
      <c r="I31" s="121" t="n"/>
      <c r="J31" s="121" t="n"/>
      <c r="K31" s="121" t="n"/>
      <c r="L31" s="121" t="n"/>
      <c r="M31" s="121" t="n"/>
      <c r="N31" s="121" t="n"/>
      <c r="O31" s="121" t="n"/>
      <c r="P31" s="121" t="n"/>
      <c r="Q31" s="121" t="n"/>
      <c r="R31" s="122" t="n"/>
    </row>
    <row r="32" ht="24" customHeight="1">
      <c r="B32" s="26" t="inlineStr">
        <is>
          <t>Tình Huống 2</t>
        </is>
      </c>
      <c r="C32" s="37" t="inlineStr">
        <is>
          <t>Cân nặng KHÔNG TĂNG nhưng Tuân thủ calo &lt; 70% (Bỏ bữa, quên ghi chép)</t>
        </is>
      </c>
      <c r="D32" s="121" t="n"/>
      <c r="E32" s="121" t="n"/>
      <c r="F32" s="121" t="n"/>
      <c r="G32" s="122" t="n"/>
      <c r="H32" s="38" t="inlineStr">
        <is>
          <t>TUYỆT ĐỐI KHÔNG TĂNG CALO MỤC TIÊU! Tập trung kỷ luật ghi chép đầy đủ các bữa và ăn đủ 2.100 kcal hiện tại trước.</t>
        </is>
      </c>
      <c r="I32" s="121" t="n"/>
      <c r="J32" s="121" t="n"/>
      <c r="K32" s="121" t="n"/>
      <c r="L32" s="121" t="n"/>
      <c r="M32" s="121" t="n"/>
      <c r="N32" s="121" t="n"/>
      <c r="O32" s="121" t="n"/>
      <c r="P32" s="121" t="n"/>
      <c r="Q32" s="121" t="n"/>
      <c r="R32" s="122" t="n"/>
    </row>
    <row r="33" ht="24" customHeight="1">
      <c r="B33" s="26" t="inlineStr">
        <is>
          <t>Tình Huống 3</t>
        </is>
      </c>
      <c r="C33" s="37" t="inlineStr">
        <is>
          <t>Cân nặng TĂNG QUÁ NHANH (&gt; 0.6 kg/tuần liên tiếp)</t>
        </is>
      </c>
      <c r="D33" s="121" t="n"/>
      <c r="E33" s="121" t="n"/>
      <c r="F33" s="121" t="n"/>
      <c r="G33" s="122" t="n"/>
      <c r="H33" s="38" t="inlineStr">
        <is>
          <t>GIẢM NHẸ SURPLUS: Giảm bớt 100-150 kcal. Tăng cân quá nhanh ở người thiếu cân dễ dẫn đến tích mỡ bụng và quá tải gan/ruột.</t>
        </is>
      </c>
      <c r="I33" s="121" t="n"/>
      <c r="J33" s="121" t="n"/>
      <c r="K33" s="121" t="n"/>
      <c r="L33" s="121" t="n"/>
      <c r="M33" s="121" t="n"/>
      <c r="N33" s="121" t="n"/>
      <c r="O33" s="121" t="n"/>
      <c r="P33" s="121" t="n"/>
      <c r="Q33" s="121" t="n"/>
      <c r="R33" s="122" t="n"/>
    </row>
    <row r="34" ht="24" customHeight="1">
      <c r="B34" s="26" t="inlineStr">
        <is>
          <t>Tình Huống 4</t>
        </is>
      </c>
      <c r="C34" s="37" t="inlineStr">
        <is>
          <t>Cân nặng tăng chuẩn (0.25 - 0.4 kg/tuần), sức mạnh tạ tăng đều</t>
        </is>
      </c>
      <c r="D34" s="121" t="n"/>
      <c r="E34" s="121" t="n"/>
      <c r="F34" s="121" t="n"/>
      <c r="G34" s="122" t="n"/>
      <c r="H34" s="38" t="inlineStr">
        <is>
          <t>GIỮ NGUYÊN KẾ HOẠCH! Bạn đang ở trạng thái vàng của quá trình Lean Bulking. Tiếp tục duy trì thói quen.</t>
        </is>
      </c>
      <c r="I34" s="121" t="n"/>
      <c r="J34" s="121" t="n"/>
      <c r="K34" s="121" t="n"/>
      <c r="L34" s="121" t="n"/>
      <c r="M34" s="121" t="n"/>
      <c r="N34" s="121" t="n"/>
      <c r="O34" s="121" t="n"/>
      <c r="P34" s="121" t="n"/>
      <c r="Q34" s="121" t="n"/>
      <c r="R34" s="122" t="n"/>
    </row>
    <row r="35" ht="24" customHeight="1">
      <c r="B35" s="26" t="inlineStr">
        <is>
          <t>Tình Huống 5</t>
        </is>
      </c>
      <c r="C35" s="37" t="inlineStr">
        <is>
          <t>Mệt mỏi mạn tính, tạ bị tụt, đau nhức khớp bất thường</t>
        </is>
      </c>
      <c r="D35" s="121" t="n"/>
      <c r="E35" s="121" t="n"/>
      <c r="F35" s="121" t="n"/>
      <c r="G35" s="122" t="n"/>
      <c r="H35" s="38" t="inlineStr">
        <is>
          <t>DELOAD &amp; KIỂM TRA GIẤC NGỦ: Giảm 50% khối lượng tập trong 1 tuần, ngủ đủ 8h. Nếu đau khớp kéo dài cần đổi bài tập ngay.</t>
        </is>
      </c>
      <c r="I35" s="121" t="n"/>
      <c r="J35" s="121" t="n"/>
      <c r="K35" s="121" t="n"/>
      <c r="L35" s="121" t="n"/>
      <c r="M35" s="121" t="n"/>
      <c r="N35" s="121" t="n"/>
      <c r="O35" s="121" t="n"/>
      <c r="P35" s="121" t="n"/>
      <c r="Q35" s="121" t="n"/>
      <c r="R35" s="122" t="n"/>
    </row>
  </sheetData>
  <mergeCells count="13">
    <mergeCell ref="C35:G35"/>
    <mergeCell ref="H31:R31"/>
    <mergeCell ref="C34:G34"/>
    <mergeCell ref="H34:R34"/>
    <mergeCell ref="H35:R35"/>
    <mergeCell ref="B30:R30"/>
    <mergeCell ref="A2:R2"/>
    <mergeCell ref="C32:G32"/>
    <mergeCell ref="C33:G33"/>
    <mergeCell ref="H33:R33"/>
    <mergeCell ref="A1:R1"/>
    <mergeCell ref="C31:G31"/>
    <mergeCell ref="H32:R32"/>
  </mergeCells>
  <pageMargins left="0.75" right="0.75" top="1" bottom="1" header="0.5" footer="0.5"/>
</worksheet>
</file>

<file path=xl/worksheets/sheet14.xml><?xml version="1.0" encoding="utf-8"?>
<worksheet xmlns="http://schemas.openxmlformats.org/spreadsheetml/2006/main">
  <sheetPr>
    <tabColor rgb="000F172A"/>
    <outlinePr summaryBelow="1" summaryRight="1"/>
    <pageSetUpPr/>
  </sheetPr>
  <dimension ref="A1:Q17"/>
  <sheetViews>
    <sheetView showGridLines="1"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40" customHeight="1">
      <c r="A1" s="1" t="inlineStr">
        <is>
          <t>BẢNG ĐIỀU KHIỂN PHÂN TÍCH TIẾN ĐỘ TĂNG CÂN &amp; TĂNG CƠ (EXECUTIVE DASHBOARD)</t>
        </is>
      </c>
    </row>
    <row r="2" ht="22" customHeight="1">
      <c r="A2" s="78" t="inlineStr">
        <is>
          <t>⚠️ BMI Baseline: 16.4 (50.3kg / 175cm) - Mục tiêu: 65.0 kg (+14.7kg). Tốc độ tăng cân an toàn: 1.0 - 1.5 kg/tháng. Bảng tính hỗ trợ theo dõi, không thay thế y khoa.</t>
        </is>
      </c>
    </row>
    <row r="4" ht="18" customHeight="1">
      <c r="A4" s="79" t="inlineStr">
        <is>
          <t>CÂN NẶNG HIỆN TẠI</t>
        </is>
      </c>
      <c r="B4" s="121" t="n"/>
      <c r="C4" s="122" t="n"/>
      <c r="D4" s="79" t="inlineStr">
        <is>
          <t>MỤC TIÊU DÀI HẠN</t>
        </is>
      </c>
      <c r="E4" s="121" t="n"/>
      <c r="F4" s="122" t="n"/>
      <c r="G4" s="79" t="inlineStr">
        <is>
          <t>SỐ KG ĐÃ TĂNG</t>
        </is>
      </c>
      <c r="H4" s="121" t="n"/>
      <c r="I4" s="122" t="n"/>
      <c r="J4" s="79" t="inlineStr">
        <is>
          <t>SỐ KG CÒN LẠI</t>
        </is>
      </c>
      <c r="K4" s="121" t="n"/>
      <c r="L4" s="122" t="n"/>
      <c r="M4" s="79" t="inlineStr">
        <is>
          <t>CÂN NẶNG TB 7 NGÀY</t>
        </is>
      </c>
      <c r="N4" s="121" t="n"/>
      <c r="O4" s="122" t="n"/>
      <c r="P4" s="79" t="inlineStr">
        <is>
          <t>TIẾN ĐỘ CHẶNG ĐƯỜNG</t>
        </is>
      </c>
      <c r="Q4" s="122" t="n"/>
    </row>
    <row r="5" ht="32" customHeight="1">
      <c r="A5" s="123">
        <f>LOOKUP(9.99E+307, '10_BODY_WEIGHT_LOG'!$C$4:$C$171)</f>
        <v/>
      </c>
      <c r="B5" s="121" t="n"/>
      <c r="C5" s="122" t="n"/>
      <c r="D5" s="123" t="n">
        <v>65</v>
      </c>
      <c r="E5" s="121" t="n"/>
      <c r="F5" s="122" t="n"/>
      <c r="G5" s="124">
        <f>MAX(0, A5-50.3)</f>
        <v/>
      </c>
      <c r="H5" s="121" t="n"/>
      <c r="I5" s="122" t="n"/>
      <c r="J5" s="123">
        <f>MAX(0, D5-A5)</f>
        <v/>
      </c>
      <c r="K5" s="121" t="n"/>
      <c r="L5" s="122" t="n"/>
      <c r="M5" s="123">
        <f>IFERROR(LOOKUP(9.99E+307, '10_BODY_WEIGHT_LOG'!$L$4:$L$171), "CHƯA ĐỦ DỮ LIỆU")</f>
        <v/>
      </c>
      <c r="N5" s="121" t="n"/>
      <c r="O5" s="122" t="n"/>
      <c r="P5" s="82">
        <f>IF(A5&lt;=50.3, 0, (A5-50.3)/(D5-50.3))</f>
        <v/>
      </c>
      <c r="Q5" s="122" t="n"/>
    </row>
    <row r="6" ht="16" customHeight="1">
      <c r="A6" s="83" t="inlineStr">
        <is>
          <t>Baseline: 50.3 kg (19/10/2026)</t>
        </is>
      </c>
      <c r="B6" s="121" t="n"/>
      <c r="C6" s="122" t="n"/>
      <c r="D6" s="83" t="inlineStr">
        <is>
          <t>Cột mốc mục tiêu cuối kỳ</t>
        </is>
      </c>
      <c r="E6" s="121" t="n"/>
      <c r="F6" s="122" t="n"/>
      <c r="G6" s="84" t="inlineStr">
        <is>
          <t>Tự động so với baseline</t>
        </is>
      </c>
      <c r="H6" s="121" t="n"/>
      <c r="I6" s="122" t="n"/>
      <c r="J6" s="83" t="inlineStr">
        <is>
          <t>Khoảng cách đến 65kg</t>
        </is>
      </c>
      <c r="K6" s="121" t="n"/>
      <c r="L6" s="122" t="n"/>
      <c r="M6" s="83" t="inlineStr">
        <is>
          <t>Đường trung bình thực</t>
        </is>
      </c>
      <c r="N6" s="121" t="n"/>
      <c r="O6" s="122" t="n"/>
      <c r="P6" s="85" t="inlineStr">
        <is>
          <t>Tỷ lệ về đích 65kg</t>
        </is>
      </c>
      <c r="Q6" s="122" t="n"/>
    </row>
    <row r="8" ht="18" customHeight="1">
      <c r="A8" s="79" t="inlineStr">
        <is>
          <t>CALO TB HẰNG NGÀY</t>
        </is>
      </c>
      <c r="B8" s="121" t="n"/>
      <c r="C8" s="122" t="n"/>
      <c r="D8" s="79" t="inlineStr">
        <is>
          <t>PROTEIN TB HẰNG NGÀY</t>
        </is>
      </c>
      <c r="E8" s="121" t="n"/>
      <c r="F8" s="122" t="n"/>
      <c r="G8" s="79" t="inlineStr">
        <is>
          <t>TUÂN THỦ CALO (TUẦN)</t>
        </is>
      </c>
      <c r="H8" s="121" t="n"/>
      <c r="I8" s="122" t="n"/>
      <c r="J8" s="79" t="inlineStr">
        <is>
          <t>TUÂN THỦ PROTEIN</t>
        </is>
      </c>
      <c r="K8" s="121" t="n"/>
      <c r="L8" s="122" t="n"/>
      <c r="M8" s="79" t="inlineStr">
        <is>
          <t>HOÀN THÀNH TẬP LUYỆN</t>
        </is>
      </c>
      <c r="N8" s="121" t="n"/>
      <c r="O8" s="122" t="n"/>
      <c r="P8" s="79" t="inlineStr">
        <is>
          <t>GIỜ NGỦ TRUNG BÌNH</t>
        </is>
      </c>
      <c r="Q8" s="122" t="n"/>
    </row>
    <row r="9" ht="32" customHeight="1">
      <c r="A9" s="86">
        <f>IFERROR('12_WEEKLY_REVIEW'!G4, "Chờ dữ liệu")</f>
        <v/>
      </c>
      <c r="B9" s="121" t="n"/>
      <c r="C9" s="122" t="n"/>
      <c r="D9" s="123">
        <f>IFERROR('12_WEEKLY_REVIEW'!H4, "Chờ dữ liệu")</f>
        <v/>
      </c>
      <c r="E9" s="121" t="n"/>
      <c r="F9" s="122" t="n"/>
      <c r="G9" s="88">
        <f>IFERROR('12_WEEKLY_REVIEW'!I4, 0)</f>
        <v/>
      </c>
      <c r="H9" s="121" t="n"/>
      <c r="I9" s="122" t="n"/>
      <c r="J9" s="88">
        <f>IFERROR('12_WEEKLY_REVIEW'!J4, 0)</f>
        <v/>
      </c>
      <c r="K9" s="121" t="n"/>
      <c r="L9" s="122" t="n"/>
      <c r="M9" s="88">
        <f>IFERROR('12_WEEKLY_REVIEW'!M4, 0)</f>
        <v/>
      </c>
      <c r="N9" s="121" t="n"/>
      <c r="O9" s="122" t="n"/>
      <c r="P9" s="123">
        <f>IFERROR('12_WEEKLY_REVIEW'!N4, 7.5)</f>
        <v/>
      </c>
      <c r="Q9" s="122" t="n"/>
    </row>
    <row r="10" ht="16" customHeight="1">
      <c r="A10" s="83" t="inlineStr">
        <is>
          <t>Mục tiêu: 2.100 kcal/ngày</t>
        </is>
      </c>
      <c r="B10" s="121" t="n"/>
      <c r="C10" s="122" t="n"/>
      <c r="D10" s="83" t="inlineStr">
        <is>
          <t>Mục tiêu: 100.0 g/ngày</t>
        </is>
      </c>
      <c r="E10" s="121" t="n"/>
      <c r="F10" s="122" t="n"/>
      <c r="G10" s="83" t="inlineStr">
        <is>
          <t>Tỷ lệ đạt chỉ tiêu năng lượng</t>
        </is>
      </c>
      <c r="H10" s="121" t="n"/>
      <c r="I10" s="122" t="n"/>
      <c r="J10" s="83" t="inlineStr">
        <is>
          <t>Tỷ lệ đạt chỉ tiêu đạm</t>
        </is>
      </c>
      <c r="K10" s="121" t="n"/>
      <c r="L10" s="122" t="n"/>
      <c r="M10" s="83" t="inlineStr">
        <is>
          <t>Số buổi tập hoàn thành / 4</t>
        </is>
      </c>
      <c r="N10" s="121" t="n"/>
      <c r="O10" s="122" t="n"/>
      <c r="P10" s="83" t="inlineStr">
        <is>
          <t>Mục tiêu tối thiểu: 7.5h</t>
        </is>
      </c>
      <c r="Q10" s="122" t="n"/>
    </row>
    <row r="12">
      <c r="I12" s="90" t="inlineStr">
        <is>
          <t>Mốc Cân Nặng</t>
        </is>
      </c>
      <c r="J12" s="90" t="inlineStr">
        <is>
          <t>Mục Tiêu (kg)</t>
        </is>
      </c>
    </row>
    <row r="13">
      <c r="I13" s="91" t="inlineStr">
        <is>
          <t>Baseline (19/10)</t>
        </is>
      </c>
      <c r="J13" s="92" t="n">
        <v>50.3</v>
      </c>
    </row>
    <row r="14">
      <c r="I14" s="91" t="inlineStr">
        <is>
          <t>Cột mốc 1</t>
        </is>
      </c>
      <c r="J14" s="92" t="n">
        <v>55</v>
      </c>
    </row>
    <row r="15">
      <c r="I15" s="91" t="inlineStr">
        <is>
          <t>Cột mốc 2</t>
        </is>
      </c>
      <c r="J15" s="92" t="n">
        <v>60</v>
      </c>
    </row>
    <row r="16">
      <c r="I16" s="91" t="inlineStr">
        <is>
          <t>Mục tiêu 65kg</t>
        </is>
      </c>
      <c r="J16" s="92" t="n">
        <v>65</v>
      </c>
    </row>
    <row r="17">
      <c r="I17" s="91" t="inlineStr">
        <is>
          <t>InBody Target</t>
        </is>
      </c>
      <c r="J17" s="92" t="n">
        <v>67.40000000000001</v>
      </c>
    </row>
  </sheetData>
  <mergeCells count="38">
    <mergeCell ref="P4:Q4"/>
    <mergeCell ref="J6:L6"/>
    <mergeCell ref="G10:I10"/>
    <mergeCell ref="M10:O10"/>
    <mergeCell ref="G6:I6"/>
    <mergeCell ref="P10:Q10"/>
    <mergeCell ref="J4:L4"/>
    <mergeCell ref="M6:O6"/>
    <mergeCell ref="A1:Q1"/>
    <mergeCell ref="P9:Q9"/>
    <mergeCell ref="A5:C5"/>
    <mergeCell ref="G5:I5"/>
    <mergeCell ref="P6:Q6"/>
    <mergeCell ref="A8:C8"/>
    <mergeCell ref="D4:F4"/>
    <mergeCell ref="P8:Q8"/>
    <mergeCell ref="G4:I4"/>
    <mergeCell ref="D9:F9"/>
    <mergeCell ref="M8:O8"/>
    <mergeCell ref="A4:C4"/>
    <mergeCell ref="D8:F8"/>
    <mergeCell ref="A10:C10"/>
    <mergeCell ref="D5:F5"/>
    <mergeCell ref="M4:O4"/>
    <mergeCell ref="A2:Q2"/>
    <mergeCell ref="A9:C9"/>
    <mergeCell ref="G9:I9"/>
    <mergeCell ref="J8:L8"/>
    <mergeCell ref="D10:F10"/>
    <mergeCell ref="J5:L5"/>
    <mergeCell ref="J10:L10"/>
    <mergeCell ref="M9:O9"/>
    <mergeCell ref="A6:C6"/>
    <mergeCell ref="M5:O5"/>
    <mergeCell ref="G8:I8"/>
    <mergeCell ref="P5:Q5"/>
    <mergeCell ref="J9:L9"/>
    <mergeCell ref="D6:F6"/>
  </mergeCells>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tabColor rgb="0064748B"/>
    <outlinePr summaryBelow="1" summaryRight="1"/>
    <pageSetUpPr/>
  </sheetPr>
  <dimension ref="A1:M13"/>
  <sheetViews>
    <sheetView showGridLines="1" workbookViewId="0">
      <selection activeCell="A1" sqref="A1"/>
    </sheetView>
  </sheetViews>
  <sheetFormatPr baseColWidth="8" defaultRowHeight="15"/>
  <sheetData>
    <row r="1" ht="35" customHeight="1">
      <c r="A1" s="93" t="inlineStr">
        <is>
          <t>BẢNG THIẾT LẬP DANH MỤC &amp; DATA VALIDATION (SETTINGS &amp; LOOKUP LISTS)</t>
        </is>
      </c>
    </row>
    <row r="2">
      <c r="A2" s="55" t="inlineStr">
        <is>
          <t>Danh mục chuẩn dùng làm Dropdown cho toàn bộ Workbook. Bạn có thể bổ sung các giá trị mới ở cuối mỗi cột.</t>
        </is>
      </c>
    </row>
    <row r="3">
      <c r="A3" s="5" t="inlineStr">
        <is>
          <t>Bữa Ăn</t>
        </is>
      </c>
      <c r="B3" s="5" t="inlineStr">
        <is>
          <t>Nhóm Thực Phẩm</t>
        </is>
      </c>
      <c r="C3" s="5" t="inlineStr">
        <is>
          <t>Trạng Thái</t>
        </is>
      </c>
      <c r="D3" s="5" t="inlineStr">
        <is>
          <t>Nhóm Cơ</t>
        </is>
      </c>
      <c r="E3" s="5" t="inlineStr">
        <is>
          <t>Dụng Cụ</t>
        </is>
      </c>
      <c r="F3" s="5" t="inlineStr">
        <is>
          <t>Độ Khó Kỹ Thuật</t>
        </is>
      </c>
      <c r="G3" s="5" t="inlineStr">
        <is>
          <t>Trạng Thái Hoàn Thành</t>
        </is>
      </c>
      <c r="H3" s="5" t="inlineStr">
        <is>
          <t>Độ Tin Cậy Dữ Liệu</t>
        </is>
      </c>
      <c r="I3" s="5" t="inlineStr">
        <is>
          <t>Thang RIR (Reps in Reserve)</t>
        </is>
      </c>
      <c r="J3" s="5" t="inlineStr">
        <is>
          <t>Thang RPE (Rate of Perceived Exertion)</t>
        </is>
      </c>
      <c r="K3" s="5" t="inlineStr">
        <is>
          <t>Trạng Thái Mục Tiêu</t>
        </is>
      </c>
      <c r="L3" s="5" t="inlineStr">
        <is>
          <t>Đánh Giá (1-5)</t>
        </is>
      </c>
      <c r="M3" s="5" t="inlineStr">
        <is>
          <t>Đơn Vị Đo</t>
        </is>
      </c>
    </row>
    <row r="4">
      <c r="A4" s="38" t="inlineStr">
        <is>
          <t>Bữa sáng</t>
        </is>
      </c>
      <c r="B4" s="38" t="inlineStr">
        <is>
          <t>Tinh bột</t>
        </is>
      </c>
      <c r="C4" s="38" t="inlineStr">
        <is>
          <t>Sống / Tươi</t>
        </is>
      </c>
      <c r="D4" s="38" t="inlineStr">
        <is>
          <t>Ngực</t>
        </is>
      </c>
      <c r="E4" s="38" t="inlineStr">
        <is>
          <t>Barbell (Tạ đòn)</t>
        </is>
      </c>
      <c r="F4" s="38" t="inlineStr">
        <is>
          <t>Cơ bản - Dễ tập</t>
        </is>
      </c>
      <c r="G4" s="38" t="inlineStr">
        <is>
          <t>Đã hoàn thành</t>
        </is>
      </c>
      <c r="H4" s="38" t="inlineStr">
        <is>
          <t>Đã cân thực tế (Cân điện tử)</t>
        </is>
      </c>
      <c r="I4" s="38" t="inlineStr">
        <is>
          <t>RIR 0 - Ngưỡng thất bại</t>
        </is>
      </c>
      <c r="J4" s="38" t="inlineStr">
        <is>
          <t>RPE 10 - Tối đa</t>
        </is>
      </c>
      <c r="K4" s="38" t="inlineStr">
        <is>
          <t>Chưa cấu hình</t>
        </is>
      </c>
      <c r="L4" s="38" t="inlineStr">
        <is>
          <t>1 - Rất kém</t>
        </is>
      </c>
      <c r="M4" s="38" t="inlineStr">
        <is>
          <t>g</t>
        </is>
      </c>
    </row>
    <row r="5">
      <c r="A5" s="43" t="inlineStr">
        <is>
          <t>Bữa phụ sáng</t>
        </is>
      </c>
      <c r="B5" s="43" t="inlineStr">
        <is>
          <t>Nguồn đạm</t>
        </is>
      </c>
      <c r="C5" s="43" t="inlineStr">
        <is>
          <t>Nấu chín</t>
        </is>
      </c>
      <c r="D5" s="43" t="inlineStr">
        <is>
          <t>Lưng / Xô</t>
        </is>
      </c>
      <c r="E5" s="43" t="inlineStr">
        <is>
          <t>Dumbbell (Tạ đơn)</t>
        </is>
      </c>
      <c r="F5" s="43" t="inlineStr">
        <is>
          <t>Trung bình</t>
        </is>
      </c>
      <c r="G5" s="43" t="inlineStr">
        <is>
          <t>Chưa hoàn thành</t>
        </is>
      </c>
      <c r="H5" s="43" t="inlineStr">
        <is>
          <t>Ước lượng khẩu phần chuẩn</t>
        </is>
      </c>
      <c r="I5" s="43" t="inlineStr">
        <is>
          <t>RIR 1 - Còn 1 rep</t>
        </is>
      </c>
      <c r="J5" s="43" t="inlineStr">
        <is>
          <t>RPE 9.5</t>
        </is>
      </c>
      <c r="K5" s="43" t="inlineStr">
        <is>
          <t>Đang thử nghiệm</t>
        </is>
      </c>
      <c r="L5" s="43" t="inlineStr">
        <is>
          <t>2 - Kém</t>
        </is>
      </c>
      <c r="M5" s="43" t="inlineStr">
        <is>
          <t>ml</t>
        </is>
      </c>
    </row>
    <row r="6">
      <c r="A6" s="38" t="inlineStr">
        <is>
          <t>Bữa trưa</t>
        </is>
      </c>
      <c r="B6" s="38" t="inlineStr">
        <is>
          <t>Chất béo tốt</t>
        </is>
      </c>
      <c r="C6" s="38" t="inlineStr">
        <is>
          <t>Khô</t>
        </is>
      </c>
      <c r="D6" s="38" t="inlineStr">
        <is>
          <t>Đùi trước</t>
        </is>
      </c>
      <c r="E6" s="38" t="inlineStr">
        <is>
          <t>Cable (Kéo cáp)</t>
        </is>
      </c>
      <c r="F6" s="38" t="inlineStr">
        <is>
          <t>Nâng cao - Cần kiểm soát</t>
        </is>
      </c>
      <c r="G6" s="38" t="inlineStr">
        <is>
          <t>Nghỉ có kế hoạch</t>
        </is>
      </c>
      <c r="H6" s="38" t="inlineStr">
        <is>
          <t>Ước lượng sơ bộ</t>
        </is>
      </c>
      <c r="I6" s="38" t="inlineStr">
        <is>
          <t>RIR 2 - Còn 2 reps</t>
        </is>
      </c>
      <c r="J6" s="38" t="inlineStr">
        <is>
          <t>RPE 9 - Rất nặng</t>
        </is>
      </c>
      <c r="K6" s="38" t="inlineStr">
        <is>
          <t>Đã xác nhận</t>
        </is>
      </c>
      <c r="L6" s="38" t="inlineStr">
        <is>
          <t>3 - Trung bình</t>
        </is>
      </c>
      <c r="M6" s="38" t="inlineStr">
        <is>
          <t>quả</t>
        </is>
      </c>
    </row>
    <row r="7">
      <c r="A7" s="43" t="inlineStr">
        <is>
          <t>Bữa phụ chiều</t>
        </is>
      </c>
      <c r="B7" s="43" t="inlineStr">
        <is>
          <t>Sữa &amp; Chế phẩm</t>
        </is>
      </c>
      <c r="C7" s="43" t="inlineStr">
        <is>
          <t>Đóng gói / Chế biến</t>
        </is>
      </c>
      <c r="D7" s="43" t="inlineStr">
        <is>
          <t>Đùi sau</t>
        </is>
      </c>
      <c r="E7" s="43" t="inlineStr">
        <is>
          <t>Machine (Máy tập)</t>
        </is>
      </c>
      <c r="G7" s="43" t="inlineStr">
        <is>
          <t>Bỏ lỡ</t>
        </is>
      </c>
      <c r="I7" s="43" t="inlineStr">
        <is>
          <t>RIR 3 - Còn 3 reps</t>
        </is>
      </c>
      <c r="J7" s="43" t="inlineStr">
        <is>
          <t>RPE 8.5</t>
        </is>
      </c>
      <c r="K7" s="43" t="inlineStr">
        <is>
          <t>Cần xem xét lại</t>
        </is>
      </c>
      <c r="L7" s="43" t="inlineStr">
        <is>
          <t>4 - Tốt</t>
        </is>
      </c>
      <c r="M7" s="43" t="inlineStr">
        <is>
          <t>lát</t>
        </is>
      </c>
    </row>
    <row r="8">
      <c r="A8" s="38" t="inlineStr">
        <is>
          <t>Bữa tối</t>
        </is>
      </c>
      <c r="B8" s="38" t="inlineStr">
        <is>
          <t>Rau củ quả</t>
        </is>
      </c>
      <c r="D8" s="38" t="inlineStr">
        <is>
          <t>Mông</t>
        </is>
      </c>
      <c r="E8" s="38" t="inlineStr">
        <is>
          <t>Bodyweight (Trọng lượng cơ thể)</t>
        </is>
      </c>
      <c r="G8" s="38" t="inlineStr">
        <is>
          <t>Tập thay thế</t>
        </is>
      </c>
      <c r="I8" s="38" t="inlineStr">
        <is>
          <t>RIR 4+ - Rất nhẹ</t>
        </is>
      </c>
      <c r="J8" s="38" t="inlineStr">
        <is>
          <t>RPE 8 - Nặng vừa</t>
        </is>
      </c>
      <c r="L8" s="38" t="inlineStr">
        <is>
          <t>5 - Rất tốt</t>
        </is>
      </c>
      <c r="M8" s="38" t="inlineStr">
        <is>
          <t>suất</t>
        </is>
      </c>
    </row>
    <row r="9">
      <c r="A9" s="43" t="inlineStr">
        <is>
          <t>Bữa phụ tối</t>
        </is>
      </c>
      <c r="B9" s="43" t="inlineStr">
        <is>
          <t>Thực phẩm bổ sung</t>
        </is>
      </c>
      <c r="D9" s="43" t="inlineStr">
        <is>
          <t>Vai</t>
        </is>
      </c>
      <c r="E9" s="43" t="inlineStr">
        <is>
          <t>Khác</t>
        </is>
      </c>
      <c r="J9" s="43" t="inlineStr">
        <is>
          <t>RPE 7.5</t>
        </is>
      </c>
      <c r="M9" s="43" t="inlineStr">
        <is>
          <t>muỗng (scoop)</t>
        </is>
      </c>
    </row>
    <row r="10">
      <c r="B10" s="38" t="inlineStr">
        <is>
          <t>Gia vị &amp; Khác</t>
        </is>
      </c>
      <c r="D10" s="38" t="inlineStr">
        <is>
          <t>Tay trước (Biceps)</t>
        </is>
      </c>
      <c r="J10" s="38" t="inlineStr">
        <is>
          <t>RPE 7 - Tương đối</t>
        </is>
      </c>
      <c r="M10" s="38" t="inlineStr">
        <is>
          <t>cái</t>
        </is>
      </c>
    </row>
    <row r="11">
      <c r="D11" s="43" t="inlineStr">
        <is>
          <t>Tay sau (Triceps)</t>
        </is>
      </c>
      <c r="J11" s="43" t="inlineStr">
        <is>
          <t>RPE 6 - Khởi động/Nhẹ</t>
        </is>
      </c>
      <c r="M11" s="43" t="inlineStr">
        <is>
          <t>hộp</t>
        </is>
      </c>
    </row>
    <row r="12">
      <c r="D12" s="38" t="inlineStr">
        <is>
          <t>Bắp chân</t>
        </is>
      </c>
      <c r="M12" s="38" t="inlineStr">
        <is>
          <t>kg</t>
        </is>
      </c>
    </row>
    <row r="13">
      <c r="D13" s="43" t="inlineStr">
        <is>
          <t>Bụng / Core</t>
        </is>
      </c>
    </row>
  </sheetData>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2026-10-20T06:28:53Z</dcterms:created>
  <dcterms:modified xmlns:dcterms="http://purl.org/dc/terms/" xmlns:xsi="http://www.w3.org/2001/XMLSchema-instance" xsi:type="dcterms:W3CDTF">2026-10-20T06:39:40Z</dcterms:modified>
</cp:coreProperties>
</file>